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C:\Users\hp\Downloads\Archive_ESP\S1\Science et Technique\Recherche opérationnelle\TP\TP5\"/>
    </mc:Choice>
  </mc:AlternateContent>
  <xr:revisionPtr revIDLastSave="0" documentId="13_ncr:1_{AC100EC4-F5E9-40DA-9F42-5C863EBC72F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istances" sheetId="1" r:id="rId1"/>
    <sheet name="tournée" sheetId="2" r:id="rId2"/>
  </sheets>
  <calcPr calcId="191029"/>
</workbook>
</file>

<file path=xl/calcChain.xml><?xml version="1.0" encoding="utf-8"?>
<calcChain xmlns="http://schemas.openxmlformats.org/spreadsheetml/2006/main">
  <c r="C2" i="2" l="1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AS2" i="2" s="1"/>
  <c r="AT2" i="2" s="1"/>
  <c r="AU2" i="2" s="1"/>
  <c r="AV2" i="2" s="1"/>
  <c r="AW2" i="2" s="1"/>
  <c r="AX2" i="2" s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C2" i="1"/>
  <c r="D2" i="1" s="1"/>
  <c r="E2" i="1" s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H1" i="1"/>
</calcChain>
</file>

<file path=xl/sharedStrings.xml><?xml version="1.0" encoding="utf-8"?>
<sst xmlns="http://schemas.openxmlformats.org/spreadsheetml/2006/main" count="227" uniqueCount="68">
  <si>
    <t>tidjikja</t>
  </si>
  <si>
    <t>tichit</t>
  </si>
  <si>
    <t>moudjerya</t>
  </si>
  <si>
    <t>kaedi</t>
  </si>
  <si>
    <t>M'bout</t>
  </si>
  <si>
    <t>monguel</t>
  </si>
  <si>
    <t>barkewol</t>
  </si>
  <si>
    <t>kiffa</t>
  </si>
  <si>
    <t>guerou</t>
  </si>
  <si>
    <t>kankossa</t>
  </si>
  <si>
    <t>boumdeid</t>
  </si>
  <si>
    <t>ouaadan</t>
  </si>
  <si>
    <t>chinguite</t>
  </si>
  <si>
    <t>oujeft</t>
  </si>
  <si>
    <t>atar</t>
  </si>
  <si>
    <t>ould yenje</t>
  </si>
  <si>
    <t>seylibabi</t>
  </si>
  <si>
    <t>mederdra</t>
  </si>
  <si>
    <t>rosso</t>
  </si>
  <si>
    <t>Rkiz</t>
  </si>
  <si>
    <t>keur mecein</t>
  </si>
  <si>
    <t>boutilimit</t>
  </si>
  <si>
    <t>Ouad naga</t>
  </si>
  <si>
    <t>Aleg</t>
  </si>
  <si>
    <t>magta-lahjar</t>
  </si>
  <si>
    <t>m'bagne</t>
  </si>
  <si>
    <t>boghe</t>
  </si>
  <si>
    <t>Bababe</t>
  </si>
  <si>
    <t>zouerat</t>
  </si>
  <si>
    <t>F'derick</t>
  </si>
  <si>
    <t>birmoguren</t>
  </si>
  <si>
    <t>Akjoujt</t>
  </si>
  <si>
    <t>binnichab</t>
  </si>
  <si>
    <t>Nema</t>
  </si>
  <si>
    <t>Amourrj</t>
  </si>
  <si>
    <t>Djigueni</t>
  </si>
  <si>
    <t>bassiknou</t>
  </si>
  <si>
    <t>Dhar adrar</t>
  </si>
  <si>
    <t>oualata</t>
  </si>
  <si>
    <t>Timbedra</t>
  </si>
  <si>
    <t>Chami</t>
  </si>
  <si>
    <t>Nouadhibou</t>
  </si>
  <si>
    <t>Tintane</t>
  </si>
  <si>
    <t>kobenni</t>
  </si>
  <si>
    <t>Aioun</t>
  </si>
  <si>
    <t>Tamchekett</t>
  </si>
  <si>
    <t>Nouakchott</t>
  </si>
  <si>
    <t>maghama</t>
  </si>
  <si>
    <t>537.21 </t>
  </si>
  <si>
    <t>917.35 </t>
  </si>
  <si>
    <t>938.34 </t>
  </si>
  <si>
    <t>873.75 </t>
  </si>
  <si>
    <t>986.89 </t>
  </si>
  <si>
    <t>813.09 </t>
  </si>
  <si>
    <t>903.28 </t>
  </si>
  <si>
    <t>732.42 </t>
  </si>
  <si>
    <t>644.34 </t>
  </si>
  <si>
    <t>728.00 </t>
  </si>
  <si>
    <t>773.72 </t>
  </si>
  <si>
    <t>binichchab</t>
  </si>
  <si>
    <t> 727</t>
  </si>
  <si>
    <t> 1126.93</t>
  </si>
  <si>
    <t> 387.50</t>
  </si>
  <si>
    <t> 932.73</t>
  </si>
  <si>
    <t> 1070.42</t>
  </si>
  <si>
    <t> 289.08</t>
  </si>
  <si>
    <t> 762.43</t>
  </si>
  <si>
    <t>Tournée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</si>
</sst>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"/>
  </numFmts>
  <fonts count="5" x14ac:knownFonts="1">
    <font>
      <sz val="11"/>
      <color theme="1"/>
      <name val="Arial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9"/>
      <color rgb="FF000000"/>
      <name val="Arial"/>
      <family val="2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164" fontId="1" fillId="0" borderId="1" xfId="0" applyNumberFormat="1" applyFont="1" applyBorder="1"/>
    <xf numFmtId="0" fontId="1" fillId="0" borderId="2" xfId="0" applyFont="1" applyBorder="1"/>
    <xf numFmtId="0" fontId="1" fillId="0" borderId="1" xfId="0" applyFont="1" applyBorder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0" fontId="4" fillId="5" borderId="0" xfId="0" applyFont="1" applyFill="1" applyAlignment="1">
      <alignment horizontal="center"/>
    </xf>
    <xf numFmtId="0" fontId="0" fillId="0" borderId="3" xfId="0" applyBorder="1"/>
    <xf numFmtId="0" fontId="2" fillId="3" borderId="5" xfId="0" applyFont="1" applyFill="1" applyBorder="1" applyAlignment="1">
      <alignment horizontal="right" wrapText="1"/>
    </xf>
    <xf numFmtId="0" fontId="3" fillId="0" borderId="4" xfId="0" applyFont="1" applyBorder="1" applyAlignment="1">
      <alignment horizontal="right"/>
    </xf>
    <xf numFmtId="0" fontId="3" fillId="0" borderId="6" xfId="0" applyFont="1" applyBorder="1" applyAlignment="1">
      <alignment horizontal="right"/>
    </xf>
    <xf numFmtId="0" fontId="1" fillId="2" borderId="1" xfId="0" applyFont="1" applyFill="1" applyBorder="1"/>
    <xf numFmtId="0" fontId="1" fillId="2" borderId="2" xfId="0" applyFont="1" applyFill="1" applyBorder="1"/>
    <xf numFmtId="0" fontId="2" fillId="3" borderId="1" xfId="0" applyFont="1" applyFill="1" applyBorder="1" applyAlignment="1">
      <alignment horizontal="right"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2" fillId="3" borderId="2" xfId="0" applyFont="1" applyFill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1" fillId="0" borderId="5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3" fillId="0" borderId="0" xfId="0" applyFont="1" applyAlignment="1">
      <alignment horizontal="right"/>
    </xf>
    <xf numFmtId="3" fontId="2" fillId="3" borderId="1" xfId="0" applyNumberFormat="1" applyFont="1" applyFill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/>
    </xf>
    <xf numFmtId="3" fontId="1" fillId="0" borderId="2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3" fillId="0" borderId="2" xfId="0" applyNumberFormat="1" applyFont="1" applyBorder="1" applyAlignment="1">
      <alignment horizontal="right"/>
    </xf>
    <xf numFmtId="3" fontId="2" fillId="3" borderId="2" xfId="0" applyNumberFormat="1" applyFont="1" applyFill="1" applyBorder="1" applyAlignment="1">
      <alignment horizontal="right" wrapText="1"/>
    </xf>
    <xf numFmtId="3" fontId="1" fillId="0" borderId="2" xfId="0" applyNumberFormat="1" applyFont="1" applyBorder="1" applyAlignment="1">
      <alignment horizontal="right" wrapText="1"/>
    </xf>
    <xf numFmtId="3" fontId="1" fillId="0" borderId="5" xfId="0" applyNumberFormat="1" applyFont="1" applyBorder="1" applyAlignment="1">
      <alignment horizontal="right" wrapText="1"/>
    </xf>
    <xf numFmtId="3" fontId="3" fillId="0" borderId="0" xfId="0" applyNumberFormat="1" applyFont="1" applyAlignment="1">
      <alignment horizontal="right"/>
    </xf>
    <xf numFmtId="3" fontId="2" fillId="0" borderId="2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992"/>
  <sheetViews>
    <sheetView zoomScale="85" zoomScaleNormal="85" workbookViewId="0">
      <selection sqref="A1:A1048576"/>
    </sheetView>
  </sheetViews>
  <sheetFormatPr baseColWidth="10" defaultColWidth="12.59765625" defaultRowHeight="15" customHeight="1" x14ac:dyDescent="0.25"/>
  <cols>
    <col min="1" max="1" width="13.19921875" customWidth="1"/>
    <col min="2" max="2" width="8" customWidth="1"/>
    <col min="3" max="50" width="7.59765625" customWidth="1"/>
  </cols>
  <sheetData>
    <row r="1" spans="1:50" ht="14.4" x14ac:dyDescent="0.3">
      <c r="A1" s="11"/>
      <c r="B1" s="1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tr">
        <f>A8</f>
        <v>maghama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1" t="s">
        <v>21</v>
      </c>
      <c r="Z1" s="11" t="s">
        <v>22</v>
      </c>
      <c r="AA1" s="11" t="s">
        <v>23</v>
      </c>
      <c r="AB1" s="11" t="s">
        <v>24</v>
      </c>
      <c r="AC1" s="11" t="s">
        <v>25</v>
      </c>
      <c r="AD1" s="11" t="s">
        <v>26</v>
      </c>
      <c r="AE1" s="11" t="s">
        <v>27</v>
      </c>
      <c r="AF1" s="11" t="s">
        <v>28</v>
      </c>
      <c r="AG1" s="11" t="s">
        <v>29</v>
      </c>
      <c r="AH1" s="11" t="s">
        <v>30</v>
      </c>
      <c r="AI1" s="11" t="s">
        <v>31</v>
      </c>
      <c r="AJ1" s="11" t="s">
        <v>32</v>
      </c>
      <c r="AK1" s="11" t="s">
        <v>33</v>
      </c>
      <c r="AL1" s="11" t="s">
        <v>34</v>
      </c>
      <c r="AM1" s="11" t="s">
        <v>35</v>
      </c>
      <c r="AN1" s="11" t="s">
        <v>36</v>
      </c>
      <c r="AO1" s="12" t="s">
        <v>37</v>
      </c>
      <c r="AP1" s="11" t="s">
        <v>38</v>
      </c>
      <c r="AQ1" s="11" t="s">
        <v>39</v>
      </c>
      <c r="AR1" s="11" t="s">
        <v>40</v>
      </c>
      <c r="AS1" s="11" t="s">
        <v>41</v>
      </c>
      <c r="AT1" s="11" t="s">
        <v>42</v>
      </c>
      <c r="AU1" s="11" t="s">
        <v>43</v>
      </c>
      <c r="AV1" s="11" t="s">
        <v>44</v>
      </c>
      <c r="AW1" s="11" t="s">
        <v>45</v>
      </c>
      <c r="AX1" s="11" t="s">
        <v>46</v>
      </c>
    </row>
    <row r="2" spans="1:50" ht="18.75" customHeight="1" x14ac:dyDescent="0.3">
      <c r="A2" s="11"/>
      <c r="B2" s="11"/>
      <c r="C2" s="11">
        <f t="shared" ref="C2:AX2" si="0">B2+1</f>
        <v>1</v>
      </c>
      <c r="D2" s="11">
        <f t="shared" si="0"/>
        <v>2</v>
      </c>
      <c r="E2" s="11">
        <f t="shared" si="0"/>
        <v>3</v>
      </c>
      <c r="F2" s="11">
        <f t="shared" si="0"/>
        <v>4</v>
      </c>
      <c r="G2" s="11">
        <f t="shared" si="0"/>
        <v>5</v>
      </c>
      <c r="H2" s="11">
        <f t="shared" si="0"/>
        <v>6</v>
      </c>
      <c r="I2" s="11">
        <f t="shared" si="0"/>
        <v>7</v>
      </c>
      <c r="J2" s="11">
        <f t="shared" si="0"/>
        <v>8</v>
      </c>
      <c r="K2" s="11">
        <f t="shared" si="0"/>
        <v>9</v>
      </c>
      <c r="L2" s="11">
        <f t="shared" si="0"/>
        <v>10</v>
      </c>
      <c r="M2" s="11">
        <f t="shared" si="0"/>
        <v>11</v>
      </c>
      <c r="N2" s="11">
        <f t="shared" si="0"/>
        <v>12</v>
      </c>
      <c r="O2" s="11">
        <f t="shared" si="0"/>
        <v>13</v>
      </c>
      <c r="P2" s="11">
        <f t="shared" si="0"/>
        <v>14</v>
      </c>
      <c r="Q2" s="11">
        <f t="shared" si="0"/>
        <v>15</v>
      </c>
      <c r="R2" s="11">
        <f t="shared" si="0"/>
        <v>16</v>
      </c>
      <c r="S2" s="11">
        <f t="shared" si="0"/>
        <v>17</v>
      </c>
      <c r="T2" s="11">
        <f t="shared" si="0"/>
        <v>18</v>
      </c>
      <c r="U2" s="11">
        <f t="shared" si="0"/>
        <v>19</v>
      </c>
      <c r="V2" s="11">
        <f t="shared" si="0"/>
        <v>20</v>
      </c>
      <c r="W2" s="11">
        <f t="shared" si="0"/>
        <v>21</v>
      </c>
      <c r="X2" s="11">
        <f t="shared" si="0"/>
        <v>22</v>
      </c>
      <c r="Y2" s="11">
        <f t="shared" si="0"/>
        <v>23</v>
      </c>
      <c r="Z2" s="11">
        <f t="shared" si="0"/>
        <v>24</v>
      </c>
      <c r="AA2" s="11">
        <f t="shared" si="0"/>
        <v>25</v>
      </c>
      <c r="AB2" s="11">
        <f t="shared" si="0"/>
        <v>26</v>
      </c>
      <c r="AC2" s="11">
        <f t="shared" si="0"/>
        <v>27</v>
      </c>
      <c r="AD2" s="11">
        <f t="shared" si="0"/>
        <v>28</v>
      </c>
      <c r="AE2" s="11">
        <f t="shared" si="0"/>
        <v>29</v>
      </c>
      <c r="AF2" s="11">
        <f t="shared" si="0"/>
        <v>30</v>
      </c>
      <c r="AG2" s="11">
        <f t="shared" si="0"/>
        <v>31</v>
      </c>
      <c r="AH2" s="11">
        <f t="shared" si="0"/>
        <v>32</v>
      </c>
      <c r="AI2" s="11">
        <f t="shared" si="0"/>
        <v>33</v>
      </c>
      <c r="AJ2" s="11">
        <f t="shared" si="0"/>
        <v>34</v>
      </c>
      <c r="AK2" s="11">
        <f t="shared" si="0"/>
        <v>35</v>
      </c>
      <c r="AL2" s="11">
        <f t="shared" si="0"/>
        <v>36</v>
      </c>
      <c r="AM2" s="11">
        <f t="shared" si="0"/>
        <v>37</v>
      </c>
      <c r="AN2" s="11">
        <f t="shared" si="0"/>
        <v>38</v>
      </c>
      <c r="AO2" s="12">
        <f t="shared" si="0"/>
        <v>39</v>
      </c>
      <c r="AP2" s="11">
        <f t="shared" si="0"/>
        <v>40</v>
      </c>
      <c r="AQ2" s="11">
        <f t="shared" si="0"/>
        <v>41</v>
      </c>
      <c r="AR2" s="11">
        <f t="shared" si="0"/>
        <v>42</v>
      </c>
      <c r="AS2" s="11">
        <f t="shared" si="0"/>
        <v>43</v>
      </c>
      <c r="AT2" s="11">
        <f t="shared" si="0"/>
        <v>44</v>
      </c>
      <c r="AU2" s="11">
        <f t="shared" si="0"/>
        <v>45</v>
      </c>
      <c r="AV2" s="11">
        <f t="shared" si="0"/>
        <v>46</v>
      </c>
      <c r="AW2" s="11">
        <f t="shared" si="0"/>
        <v>47</v>
      </c>
      <c r="AX2" s="11">
        <f t="shared" si="0"/>
        <v>48</v>
      </c>
    </row>
    <row r="3" spans="1:50" ht="18.75" customHeight="1" x14ac:dyDescent="0.3">
      <c r="A3" s="11" t="s">
        <v>0</v>
      </c>
      <c r="B3" s="11">
        <f t="shared" ref="B3:B50" si="1">B2+1</f>
        <v>1</v>
      </c>
      <c r="C3" s="26">
        <v>0</v>
      </c>
      <c r="D3" s="27">
        <v>204</v>
      </c>
      <c r="E3" s="27">
        <v>119</v>
      </c>
      <c r="F3" s="27">
        <v>346</v>
      </c>
      <c r="G3" s="27">
        <v>298</v>
      </c>
      <c r="H3" s="27">
        <v>369</v>
      </c>
      <c r="I3" s="27">
        <v>302</v>
      </c>
      <c r="J3" s="27">
        <v>241</v>
      </c>
      <c r="K3" s="27">
        <v>215</v>
      </c>
      <c r="L3" s="27">
        <v>195</v>
      </c>
      <c r="M3" s="27">
        <v>291</v>
      </c>
      <c r="N3" s="27">
        <v>129</v>
      </c>
      <c r="O3" s="27">
        <v>262</v>
      </c>
      <c r="P3" s="27">
        <v>238</v>
      </c>
      <c r="Q3" s="27">
        <v>236</v>
      </c>
      <c r="R3" s="28">
        <v>280</v>
      </c>
      <c r="S3" s="28">
        <v>336</v>
      </c>
      <c r="T3" s="29">
        <v>386</v>
      </c>
      <c r="U3" s="29">
        <v>474</v>
      </c>
      <c r="V3" s="29">
        <v>517</v>
      </c>
      <c r="W3" s="29">
        <v>443</v>
      </c>
      <c r="X3" s="29">
        <v>556</v>
      </c>
      <c r="Y3" s="29">
        <v>362</v>
      </c>
      <c r="Z3" s="29">
        <v>437</v>
      </c>
      <c r="AA3" s="29">
        <v>312</v>
      </c>
      <c r="AB3" s="29">
        <v>211</v>
      </c>
      <c r="AC3" s="29">
        <v>357.1</v>
      </c>
      <c r="AD3" s="29">
        <v>371.1</v>
      </c>
      <c r="AE3" s="30">
        <v>362</v>
      </c>
      <c r="AF3" s="30">
        <v>476.72</v>
      </c>
      <c r="AG3" s="30">
        <v>477.51</v>
      </c>
      <c r="AH3" s="30">
        <v>742.45</v>
      </c>
      <c r="AI3" s="30">
        <v>337.61</v>
      </c>
      <c r="AJ3" s="30">
        <v>432.38</v>
      </c>
      <c r="AK3" s="30">
        <v>491.65</v>
      </c>
      <c r="AL3" s="30">
        <v>559.77</v>
      </c>
      <c r="AM3" s="30">
        <v>429</v>
      </c>
      <c r="AN3" s="30">
        <v>654.46</v>
      </c>
      <c r="AO3" s="31">
        <v>278.25</v>
      </c>
      <c r="AP3" s="27">
        <v>485</v>
      </c>
      <c r="AQ3" s="30">
        <v>431.09</v>
      </c>
      <c r="AR3" s="27">
        <v>509.46</v>
      </c>
      <c r="AS3" s="27">
        <v>644.35</v>
      </c>
      <c r="AT3" s="27">
        <v>168</v>
      </c>
      <c r="AU3" s="27">
        <v>371.64</v>
      </c>
      <c r="AV3" s="27">
        <v>285.12</v>
      </c>
      <c r="AW3" s="27">
        <v>166.68</v>
      </c>
      <c r="AX3" s="27">
        <v>610</v>
      </c>
    </row>
    <row r="4" spans="1:50" ht="14.4" x14ac:dyDescent="0.3">
      <c r="A4" s="11" t="s">
        <v>1</v>
      </c>
      <c r="B4" s="11">
        <f t="shared" si="1"/>
        <v>2</v>
      </c>
      <c r="C4" s="27">
        <v>204</v>
      </c>
      <c r="D4" s="26">
        <v>0</v>
      </c>
      <c r="E4" s="27">
        <v>305</v>
      </c>
      <c r="F4" s="27">
        <v>500</v>
      </c>
      <c r="G4" s="27">
        <v>421</v>
      </c>
      <c r="H4" s="27">
        <v>480</v>
      </c>
      <c r="I4" s="27">
        <v>448</v>
      </c>
      <c r="J4" s="27">
        <v>452</v>
      </c>
      <c r="K4" s="27">
        <v>281</v>
      </c>
      <c r="L4" s="27">
        <v>303</v>
      </c>
      <c r="M4" s="27">
        <v>351</v>
      </c>
      <c r="N4" s="27">
        <v>226</v>
      </c>
      <c r="O4" s="27">
        <v>355</v>
      </c>
      <c r="P4" s="27">
        <v>238</v>
      </c>
      <c r="Q4" s="27">
        <v>412</v>
      </c>
      <c r="R4" s="28">
        <v>438</v>
      </c>
      <c r="S4" s="28">
        <v>400</v>
      </c>
      <c r="T4" s="29">
        <v>464</v>
      </c>
      <c r="U4" s="29">
        <v>669</v>
      </c>
      <c r="V4" s="28">
        <v>703</v>
      </c>
      <c r="W4" s="29">
        <v>632</v>
      </c>
      <c r="X4" s="29">
        <v>746.8</v>
      </c>
      <c r="Y4" s="28">
        <v>490</v>
      </c>
      <c r="Z4" s="29">
        <v>638.87</v>
      </c>
      <c r="AA4" s="29">
        <v>493.1</v>
      </c>
      <c r="AB4" s="29">
        <v>373</v>
      </c>
      <c r="AC4" s="29">
        <v>516</v>
      </c>
      <c r="AD4" s="28">
        <v>546</v>
      </c>
      <c r="AE4" s="30">
        <v>526.66999999999996</v>
      </c>
      <c r="AF4" s="30">
        <v>569.59</v>
      </c>
      <c r="AG4" s="30">
        <v>578.38</v>
      </c>
      <c r="AH4" s="30">
        <v>785.18</v>
      </c>
      <c r="AI4" s="30">
        <v>534.44000000000005</v>
      </c>
      <c r="AJ4" s="30">
        <v>634.29</v>
      </c>
      <c r="AK4" s="30">
        <v>311.86</v>
      </c>
      <c r="AL4" s="30">
        <v>390.2</v>
      </c>
      <c r="AM4" s="30">
        <v>313.26</v>
      </c>
      <c r="AN4" s="30">
        <v>472.92</v>
      </c>
      <c r="AO4" s="31">
        <v>386</v>
      </c>
      <c r="AP4" s="27">
        <v>292</v>
      </c>
      <c r="AQ4" s="30">
        <v>282</v>
      </c>
      <c r="AR4" s="27">
        <v>706</v>
      </c>
      <c r="AS4" s="27">
        <v>837</v>
      </c>
      <c r="AT4" s="27">
        <v>239</v>
      </c>
      <c r="AU4" s="27">
        <v>293</v>
      </c>
      <c r="AV4" s="27">
        <v>199</v>
      </c>
      <c r="AW4" s="27">
        <v>181</v>
      </c>
      <c r="AX4" s="27">
        <v>683</v>
      </c>
    </row>
    <row r="5" spans="1:50" ht="14.4" x14ac:dyDescent="0.3">
      <c r="A5" s="11" t="s">
        <v>2</v>
      </c>
      <c r="B5" s="11">
        <f t="shared" si="1"/>
        <v>3</v>
      </c>
      <c r="C5" s="27">
        <v>119</v>
      </c>
      <c r="D5" s="27">
        <v>305</v>
      </c>
      <c r="E5" s="26">
        <v>0</v>
      </c>
      <c r="F5" s="27">
        <v>235</v>
      </c>
      <c r="G5" s="27">
        <v>211</v>
      </c>
      <c r="H5" s="27">
        <v>267</v>
      </c>
      <c r="I5" s="27">
        <v>190</v>
      </c>
      <c r="J5" s="27">
        <v>204</v>
      </c>
      <c r="K5" s="27">
        <v>162</v>
      </c>
      <c r="L5" s="27">
        <v>114</v>
      </c>
      <c r="M5" s="27">
        <v>239</v>
      </c>
      <c r="N5" s="27">
        <v>102</v>
      </c>
      <c r="O5" s="27">
        <v>345</v>
      </c>
      <c r="P5" s="27">
        <v>380</v>
      </c>
      <c r="Q5" s="27">
        <v>249</v>
      </c>
      <c r="R5" s="28">
        <v>307</v>
      </c>
      <c r="S5" s="28">
        <v>264</v>
      </c>
      <c r="T5" s="28">
        <v>301</v>
      </c>
      <c r="U5" s="28">
        <v>376</v>
      </c>
      <c r="V5" s="28">
        <v>412</v>
      </c>
      <c r="W5" s="28">
        <v>339</v>
      </c>
      <c r="X5" s="29">
        <v>454.08</v>
      </c>
      <c r="Y5" s="28">
        <v>206</v>
      </c>
      <c r="Z5" s="28">
        <v>351</v>
      </c>
      <c r="AA5" s="28">
        <v>203</v>
      </c>
      <c r="AB5" s="28">
        <v>103</v>
      </c>
      <c r="AC5" s="29">
        <v>245.06</v>
      </c>
      <c r="AD5" s="29">
        <v>260.66000000000003</v>
      </c>
      <c r="AE5" s="30">
        <v>241.99</v>
      </c>
      <c r="AF5" s="30">
        <v>539.74</v>
      </c>
      <c r="AG5" s="30">
        <v>535.07000000000005</v>
      </c>
      <c r="AH5" s="30">
        <v>820.96</v>
      </c>
      <c r="AI5" s="30">
        <v>300.11</v>
      </c>
      <c r="AJ5" s="30">
        <v>371.31</v>
      </c>
      <c r="AK5" s="30">
        <v>556.38</v>
      </c>
      <c r="AL5" s="30">
        <v>608.62</v>
      </c>
      <c r="AM5" s="30">
        <v>457.27</v>
      </c>
      <c r="AN5" s="30">
        <v>714.33</v>
      </c>
      <c r="AO5" s="31">
        <v>348.52</v>
      </c>
      <c r="AP5" s="30">
        <v>348.52</v>
      </c>
      <c r="AQ5" s="30">
        <v>477.83</v>
      </c>
      <c r="AR5" s="27">
        <v>471</v>
      </c>
      <c r="AS5" s="27">
        <v>611</v>
      </c>
      <c r="AT5" s="27">
        <v>270</v>
      </c>
      <c r="AU5" s="27">
        <v>373</v>
      </c>
      <c r="AV5" s="27">
        <v>305</v>
      </c>
      <c r="AW5" s="27">
        <v>176</v>
      </c>
      <c r="AX5" s="27">
        <v>400</v>
      </c>
    </row>
    <row r="6" spans="1:50" ht="14.4" x14ac:dyDescent="0.3">
      <c r="A6" s="11" t="s">
        <v>3</v>
      </c>
      <c r="B6" s="11">
        <f t="shared" si="1"/>
        <v>4</v>
      </c>
      <c r="C6" s="27">
        <v>346</v>
      </c>
      <c r="D6" s="27">
        <v>500</v>
      </c>
      <c r="E6" s="27">
        <v>235</v>
      </c>
      <c r="F6" s="26">
        <v>0</v>
      </c>
      <c r="G6" s="27">
        <v>100</v>
      </c>
      <c r="H6" s="27">
        <v>99</v>
      </c>
      <c r="I6" s="27">
        <v>49</v>
      </c>
      <c r="J6" s="27">
        <v>109</v>
      </c>
      <c r="K6" s="27">
        <v>230</v>
      </c>
      <c r="L6" s="27">
        <v>181</v>
      </c>
      <c r="M6" s="27">
        <v>251</v>
      </c>
      <c r="N6" s="27">
        <v>271</v>
      </c>
      <c r="O6" s="27">
        <v>567</v>
      </c>
      <c r="P6" s="27">
        <v>492</v>
      </c>
      <c r="Q6" s="27">
        <v>436</v>
      </c>
      <c r="R6" s="28">
        <v>487</v>
      </c>
      <c r="S6" s="28">
        <v>202</v>
      </c>
      <c r="T6" s="28">
        <v>179</v>
      </c>
      <c r="U6" s="28">
        <v>255</v>
      </c>
      <c r="V6" s="28">
        <v>250</v>
      </c>
      <c r="W6" s="28">
        <v>204</v>
      </c>
      <c r="X6" s="29">
        <v>301.63</v>
      </c>
      <c r="Y6" s="28">
        <v>234</v>
      </c>
      <c r="Z6" s="28">
        <v>295</v>
      </c>
      <c r="AA6" s="28">
        <v>110</v>
      </c>
      <c r="AB6" s="28">
        <v>157</v>
      </c>
      <c r="AC6" s="29">
        <v>31.9</v>
      </c>
      <c r="AD6" s="29">
        <v>94.58</v>
      </c>
      <c r="AE6" s="30">
        <v>51.88</v>
      </c>
      <c r="AF6" s="30">
        <v>739.05</v>
      </c>
      <c r="AG6" s="30">
        <v>730.12</v>
      </c>
      <c r="AH6" s="30">
        <v>1028.82</v>
      </c>
      <c r="AI6" s="30">
        <v>410.19</v>
      </c>
      <c r="AJ6" s="30">
        <v>421.35</v>
      </c>
      <c r="AK6" s="30">
        <v>667.36</v>
      </c>
      <c r="AL6" s="30">
        <v>689.18</v>
      </c>
      <c r="AM6" s="30">
        <v>518.27</v>
      </c>
      <c r="AN6" s="30">
        <v>807.25</v>
      </c>
      <c r="AO6" s="31">
        <v>561.79999999999995</v>
      </c>
      <c r="AP6" s="30">
        <v>561.79999999999995</v>
      </c>
      <c r="AQ6" s="30">
        <v>569.12</v>
      </c>
      <c r="AR6" s="27">
        <v>517</v>
      </c>
      <c r="AS6" s="27">
        <v>648</v>
      </c>
      <c r="AT6" s="27">
        <v>365</v>
      </c>
      <c r="AU6" s="27">
        <v>438</v>
      </c>
      <c r="AV6" s="27">
        <v>418</v>
      </c>
      <c r="AW6" s="27">
        <v>325</v>
      </c>
      <c r="AX6" s="27">
        <v>410</v>
      </c>
    </row>
    <row r="7" spans="1:50" ht="14.4" x14ac:dyDescent="0.3">
      <c r="A7" s="11" t="s">
        <v>4</v>
      </c>
      <c r="B7" s="11">
        <f t="shared" si="1"/>
        <v>5</v>
      </c>
      <c r="C7" s="27">
        <v>298</v>
      </c>
      <c r="D7" s="27">
        <v>421</v>
      </c>
      <c r="E7" s="27">
        <v>211</v>
      </c>
      <c r="F7" s="27">
        <v>100</v>
      </c>
      <c r="G7" s="26">
        <v>0</v>
      </c>
      <c r="H7" s="27">
        <v>58</v>
      </c>
      <c r="I7" s="27">
        <v>76</v>
      </c>
      <c r="J7" s="27">
        <v>184</v>
      </c>
      <c r="K7" s="27">
        <v>142</v>
      </c>
      <c r="L7" s="27">
        <v>115</v>
      </c>
      <c r="M7" s="27">
        <v>151</v>
      </c>
      <c r="N7" s="27">
        <v>120</v>
      </c>
      <c r="O7" s="27">
        <v>556</v>
      </c>
      <c r="P7" s="27">
        <v>554</v>
      </c>
      <c r="Q7" s="27">
        <v>435</v>
      </c>
      <c r="R7" s="28">
        <v>505</v>
      </c>
      <c r="S7" s="28">
        <v>101</v>
      </c>
      <c r="T7" s="28">
        <v>100</v>
      </c>
      <c r="U7" s="28">
        <v>357</v>
      </c>
      <c r="V7" s="28">
        <v>355</v>
      </c>
      <c r="W7" s="28">
        <v>315</v>
      </c>
      <c r="X7" s="29">
        <v>406.82</v>
      </c>
      <c r="Y7" s="28">
        <v>296</v>
      </c>
      <c r="Z7" s="28">
        <v>387</v>
      </c>
      <c r="AA7" s="28">
        <v>189</v>
      </c>
      <c r="AB7" s="29">
        <v>179</v>
      </c>
      <c r="AC7" s="29">
        <v>129.91999999999999</v>
      </c>
      <c r="AD7" s="29">
        <v>196.8</v>
      </c>
      <c r="AE7" s="30">
        <v>150.47</v>
      </c>
      <c r="AF7" s="30">
        <v>746.02</v>
      </c>
      <c r="AG7" s="30">
        <v>740.33</v>
      </c>
      <c r="AH7" s="30">
        <v>1028.93</v>
      </c>
      <c r="AI7" s="30">
        <v>456.27</v>
      </c>
      <c r="AJ7" s="30">
        <v>487.95</v>
      </c>
      <c r="AK7" s="30">
        <v>571.08000000000004</v>
      </c>
      <c r="AL7" s="30">
        <v>586.66999999999996</v>
      </c>
      <c r="AM7" s="30">
        <v>419.11</v>
      </c>
      <c r="AN7" s="30">
        <v>708.34</v>
      </c>
      <c r="AO7" s="31">
        <v>566.67999999999995</v>
      </c>
      <c r="AP7" s="30">
        <v>566.67999999999995</v>
      </c>
      <c r="AQ7" s="30">
        <v>471.25</v>
      </c>
      <c r="AR7" s="27">
        <v>583</v>
      </c>
      <c r="AS7" s="27">
        <v>719</v>
      </c>
      <c r="AT7" s="27">
        <v>260</v>
      </c>
      <c r="AU7" s="27">
        <v>339</v>
      </c>
      <c r="AV7" s="27">
        <v>323</v>
      </c>
      <c r="AW7" s="27">
        <v>244</v>
      </c>
      <c r="AX7" s="27">
        <v>428</v>
      </c>
    </row>
    <row r="8" spans="1:50" ht="14.4" x14ac:dyDescent="0.3">
      <c r="A8" s="11" t="s">
        <v>47</v>
      </c>
      <c r="B8" s="11">
        <f t="shared" si="1"/>
        <v>6</v>
      </c>
      <c r="C8" s="27">
        <v>369</v>
      </c>
      <c r="D8" s="27">
        <v>480</v>
      </c>
      <c r="E8" s="27">
        <v>267</v>
      </c>
      <c r="F8" s="27">
        <v>99</v>
      </c>
      <c r="G8" s="27">
        <v>58</v>
      </c>
      <c r="H8" s="26">
        <v>0</v>
      </c>
      <c r="I8" s="27">
        <v>103</v>
      </c>
      <c r="J8" s="27">
        <v>204</v>
      </c>
      <c r="K8" s="27">
        <v>194</v>
      </c>
      <c r="L8" s="27">
        <v>173</v>
      </c>
      <c r="M8" s="27">
        <v>184</v>
      </c>
      <c r="N8" s="27">
        <v>177</v>
      </c>
      <c r="O8" s="27">
        <v>612</v>
      </c>
      <c r="P8" s="27">
        <v>634</v>
      </c>
      <c r="Q8" s="27">
        <v>634</v>
      </c>
      <c r="R8" s="28">
        <v>553</v>
      </c>
      <c r="S8" s="28">
        <v>119</v>
      </c>
      <c r="T8" s="28">
        <v>81</v>
      </c>
      <c r="U8" s="28">
        <v>351</v>
      </c>
      <c r="V8" s="28">
        <v>336</v>
      </c>
      <c r="W8" s="28">
        <v>299</v>
      </c>
      <c r="X8" s="29">
        <v>388.26</v>
      </c>
      <c r="Y8" s="28">
        <v>323</v>
      </c>
      <c r="Z8" s="29">
        <v>394</v>
      </c>
      <c r="AA8" s="28">
        <v>204</v>
      </c>
      <c r="AB8" s="29">
        <v>221.18</v>
      </c>
      <c r="AC8" s="29">
        <v>128</v>
      </c>
      <c r="AD8" s="29">
        <v>192</v>
      </c>
      <c r="AE8" s="30">
        <v>149.54</v>
      </c>
      <c r="AF8" s="30">
        <v>803.68</v>
      </c>
      <c r="AG8" s="30">
        <v>797.05</v>
      </c>
      <c r="AH8" s="30">
        <v>1088.74</v>
      </c>
      <c r="AI8" s="30">
        <v>498.22</v>
      </c>
      <c r="AJ8" s="30">
        <v>518.24</v>
      </c>
      <c r="AK8" s="30">
        <v>609.39</v>
      </c>
      <c r="AL8" s="30">
        <v>611.78</v>
      </c>
      <c r="AM8" s="30">
        <v>449.28</v>
      </c>
      <c r="AN8" s="30">
        <v>738.84</v>
      </c>
      <c r="AO8" s="31">
        <v>616.61</v>
      </c>
      <c r="AP8" s="30">
        <v>616.61</v>
      </c>
      <c r="AQ8" s="30">
        <v>506.76</v>
      </c>
      <c r="AR8" s="27">
        <v>612</v>
      </c>
      <c r="AS8" s="27">
        <v>745</v>
      </c>
      <c r="AT8" s="27">
        <v>299</v>
      </c>
      <c r="AU8" s="27">
        <v>366</v>
      </c>
      <c r="AV8" s="27">
        <v>365</v>
      </c>
      <c r="AW8" s="27">
        <v>298</v>
      </c>
      <c r="AX8" s="27">
        <v>439</v>
      </c>
    </row>
    <row r="9" spans="1:50" ht="14.4" x14ac:dyDescent="0.3">
      <c r="A9" s="11" t="s">
        <v>5</v>
      </c>
      <c r="B9" s="11">
        <f t="shared" si="1"/>
        <v>7</v>
      </c>
      <c r="C9" s="27">
        <v>302</v>
      </c>
      <c r="D9" s="27">
        <v>448</v>
      </c>
      <c r="E9" s="27">
        <v>190</v>
      </c>
      <c r="F9" s="27">
        <v>49</v>
      </c>
      <c r="G9" s="27">
        <v>76</v>
      </c>
      <c r="H9" s="27">
        <v>103</v>
      </c>
      <c r="I9" s="26">
        <v>0</v>
      </c>
      <c r="J9" s="27">
        <v>108</v>
      </c>
      <c r="K9" s="27">
        <v>186</v>
      </c>
      <c r="L9" s="27">
        <v>133</v>
      </c>
      <c r="M9" s="27">
        <v>217</v>
      </c>
      <c r="N9" s="27">
        <v>145</v>
      </c>
      <c r="O9" s="27">
        <v>525</v>
      </c>
      <c r="P9" s="27">
        <v>530</v>
      </c>
      <c r="Q9" s="27">
        <v>402</v>
      </c>
      <c r="R9" s="29">
        <v>455</v>
      </c>
      <c r="S9" s="28">
        <v>181</v>
      </c>
      <c r="T9" s="28">
        <v>174</v>
      </c>
      <c r="U9" s="28">
        <v>280</v>
      </c>
      <c r="V9" s="28">
        <v>284</v>
      </c>
      <c r="W9" s="28">
        <v>238</v>
      </c>
      <c r="X9" s="29">
        <v>335</v>
      </c>
      <c r="Y9" s="28">
        <v>221</v>
      </c>
      <c r="Z9" s="28">
        <v>305</v>
      </c>
      <c r="AA9" s="28">
        <v>108</v>
      </c>
      <c r="AB9" s="29">
        <v>121</v>
      </c>
      <c r="AC9" s="29">
        <v>89</v>
      </c>
      <c r="AD9" s="28">
        <v>121</v>
      </c>
      <c r="AE9" s="30">
        <v>84.8</v>
      </c>
      <c r="AF9" s="30">
        <v>710.72</v>
      </c>
      <c r="AG9" s="30">
        <v>702.71</v>
      </c>
      <c r="AH9" s="30">
        <v>998.49</v>
      </c>
      <c r="AI9" s="30">
        <v>397.28</v>
      </c>
      <c r="AJ9" s="30">
        <v>420.25</v>
      </c>
      <c r="AK9" s="30">
        <v>628.42999999999995</v>
      </c>
      <c r="AL9" s="30">
        <v>645.79</v>
      </c>
      <c r="AM9" s="30">
        <v>483.88</v>
      </c>
      <c r="AN9" s="30">
        <v>771.14</v>
      </c>
      <c r="AO9" s="31">
        <v>528.44000000000005</v>
      </c>
      <c r="AP9" s="30">
        <v>528.44000000000005</v>
      </c>
      <c r="AQ9" s="30">
        <v>531.82000000000005</v>
      </c>
      <c r="AR9" s="27">
        <v>512</v>
      </c>
      <c r="AS9" s="27">
        <v>645</v>
      </c>
      <c r="AT9" s="27">
        <v>316</v>
      </c>
      <c r="AU9" s="27">
        <v>403</v>
      </c>
      <c r="AV9" s="27">
        <v>376</v>
      </c>
      <c r="AW9" s="27">
        <v>278</v>
      </c>
      <c r="AX9" s="27">
        <v>353</v>
      </c>
    </row>
    <row r="10" spans="1:50" ht="14.4" x14ac:dyDescent="0.3">
      <c r="A10" s="11" t="s">
        <v>6</v>
      </c>
      <c r="B10" s="11">
        <f t="shared" si="1"/>
        <v>8</v>
      </c>
      <c r="C10" s="27">
        <v>241</v>
      </c>
      <c r="D10" s="27">
        <v>452</v>
      </c>
      <c r="E10" s="27">
        <v>204</v>
      </c>
      <c r="F10" s="27">
        <v>109</v>
      </c>
      <c r="G10" s="27">
        <v>184</v>
      </c>
      <c r="H10" s="27">
        <v>204</v>
      </c>
      <c r="I10" s="27">
        <v>108</v>
      </c>
      <c r="J10" s="26">
        <v>0</v>
      </c>
      <c r="K10" s="27">
        <v>272</v>
      </c>
      <c r="L10" s="27">
        <v>207</v>
      </c>
      <c r="M10" s="27">
        <v>318</v>
      </c>
      <c r="N10" s="27">
        <v>223</v>
      </c>
      <c r="O10" s="27">
        <v>494</v>
      </c>
      <c r="P10" s="27">
        <v>490</v>
      </c>
      <c r="Q10" s="27">
        <v>382</v>
      </c>
      <c r="R10" s="29">
        <v>429.58</v>
      </c>
      <c r="S10" s="28">
        <v>148</v>
      </c>
      <c r="T10" s="28">
        <v>168</v>
      </c>
      <c r="U10" s="28">
        <v>341</v>
      </c>
      <c r="V10" s="28">
        <v>353</v>
      </c>
      <c r="W10" s="28">
        <v>302</v>
      </c>
      <c r="X10" s="29">
        <v>402.7</v>
      </c>
      <c r="Y10" s="28">
        <v>242</v>
      </c>
      <c r="Z10" s="28">
        <v>353</v>
      </c>
      <c r="AA10" s="28">
        <v>157</v>
      </c>
      <c r="AB10" s="29">
        <v>116</v>
      </c>
      <c r="AC10" s="29">
        <v>142.63999999999999</v>
      </c>
      <c r="AD10" s="28">
        <v>188</v>
      </c>
      <c r="AE10" s="30">
        <v>158.01</v>
      </c>
      <c r="AF10" s="30">
        <v>676.36</v>
      </c>
      <c r="AG10" s="30">
        <v>670.83</v>
      </c>
      <c r="AH10" s="30">
        <v>959.06</v>
      </c>
      <c r="AI10" s="30">
        <v>397.85</v>
      </c>
      <c r="AJ10" s="30">
        <v>440.66</v>
      </c>
      <c r="AK10" s="30">
        <v>558.25</v>
      </c>
      <c r="AL10" s="30">
        <v>586.45000000000005</v>
      </c>
      <c r="AM10" s="30">
        <v>420</v>
      </c>
      <c r="AN10" s="30">
        <v>712.62</v>
      </c>
      <c r="AO10" s="31">
        <v>486.35</v>
      </c>
      <c r="AP10" s="30">
        <v>486.35</v>
      </c>
      <c r="AQ10" s="30">
        <v>463.86</v>
      </c>
      <c r="AR10" s="27">
        <v>536</v>
      </c>
      <c r="AS10" s="27">
        <v>674</v>
      </c>
      <c r="AT10" s="27">
        <v>249</v>
      </c>
      <c r="AU10" s="27">
        <v>341</v>
      </c>
      <c r="AV10" s="27">
        <v>306</v>
      </c>
      <c r="AW10" s="27">
        <v>341</v>
      </c>
      <c r="AX10" s="27">
        <v>402</v>
      </c>
    </row>
    <row r="11" spans="1:50" ht="14.4" x14ac:dyDescent="0.3">
      <c r="A11" s="11" t="s">
        <v>7</v>
      </c>
      <c r="B11" s="11">
        <f t="shared" si="1"/>
        <v>9</v>
      </c>
      <c r="C11" s="27">
        <v>215</v>
      </c>
      <c r="D11" s="27">
        <v>281</v>
      </c>
      <c r="E11" s="27">
        <v>162</v>
      </c>
      <c r="F11" s="27">
        <v>230</v>
      </c>
      <c r="G11" s="27">
        <v>142</v>
      </c>
      <c r="H11" s="27">
        <v>194</v>
      </c>
      <c r="I11" s="27">
        <v>186</v>
      </c>
      <c r="J11" s="27">
        <v>272</v>
      </c>
      <c r="K11" s="26">
        <v>0</v>
      </c>
      <c r="L11" s="27">
        <v>67</v>
      </c>
      <c r="M11" s="27">
        <v>78</v>
      </c>
      <c r="N11" s="27">
        <v>51</v>
      </c>
      <c r="O11" s="27">
        <v>479</v>
      </c>
      <c r="P11" s="27">
        <v>470</v>
      </c>
      <c r="Q11" s="27">
        <v>420</v>
      </c>
      <c r="R11" s="29">
        <v>466</v>
      </c>
      <c r="S11" s="29">
        <v>470</v>
      </c>
      <c r="T11" s="28">
        <v>183</v>
      </c>
      <c r="U11" s="28">
        <v>457</v>
      </c>
      <c r="V11" s="29">
        <v>470</v>
      </c>
      <c r="W11" s="29">
        <v>409.6</v>
      </c>
      <c r="X11" s="29">
        <v>519.57000000000005</v>
      </c>
      <c r="Y11" s="29">
        <v>336</v>
      </c>
      <c r="Z11" s="29">
        <v>462</v>
      </c>
      <c r="AA11" s="29">
        <v>272</v>
      </c>
      <c r="AB11" s="29">
        <v>205.3</v>
      </c>
      <c r="AC11" s="29">
        <v>256.5</v>
      </c>
      <c r="AD11" s="29">
        <v>304.60000000000002</v>
      </c>
      <c r="AE11" s="30">
        <v>272.8</v>
      </c>
      <c r="AF11" s="30">
        <v>688.17</v>
      </c>
      <c r="AG11" s="30">
        <v>686.79</v>
      </c>
      <c r="AH11" s="30">
        <v>957.08</v>
      </c>
      <c r="AI11" s="30">
        <v>468.5</v>
      </c>
      <c r="AJ11" s="30">
        <v>530.29</v>
      </c>
      <c r="AK11" s="30">
        <v>441.61</v>
      </c>
      <c r="AL11" s="30">
        <v>469.37</v>
      </c>
      <c r="AM11" s="30">
        <v>308.38</v>
      </c>
      <c r="AN11" s="30">
        <v>587.86</v>
      </c>
      <c r="AO11" s="31">
        <v>490.77</v>
      </c>
      <c r="AP11" s="30">
        <v>490.77</v>
      </c>
      <c r="AQ11" s="30">
        <v>347.67</v>
      </c>
      <c r="AR11" s="27">
        <v>623</v>
      </c>
      <c r="AS11" s="27">
        <v>762</v>
      </c>
      <c r="AT11" s="27">
        <v>133</v>
      </c>
      <c r="AU11" s="27">
        <v>229</v>
      </c>
      <c r="AV11" s="27">
        <v>190</v>
      </c>
      <c r="AW11" s="27">
        <v>104</v>
      </c>
      <c r="AX11" s="27">
        <v>512</v>
      </c>
    </row>
    <row r="12" spans="1:50" ht="14.4" x14ac:dyDescent="0.3">
      <c r="A12" s="11" t="s">
        <v>8</v>
      </c>
      <c r="B12" s="11">
        <f t="shared" si="1"/>
        <v>10</v>
      </c>
      <c r="C12" s="27">
        <v>195</v>
      </c>
      <c r="D12" s="27">
        <v>303</v>
      </c>
      <c r="E12" s="27">
        <v>114</v>
      </c>
      <c r="F12" s="27">
        <v>181</v>
      </c>
      <c r="G12" s="27">
        <v>115</v>
      </c>
      <c r="H12" s="27">
        <v>173</v>
      </c>
      <c r="I12" s="27">
        <v>133</v>
      </c>
      <c r="J12" s="27">
        <v>207</v>
      </c>
      <c r="K12" s="27">
        <v>67</v>
      </c>
      <c r="L12" s="26">
        <v>0</v>
      </c>
      <c r="M12" s="27">
        <v>133</v>
      </c>
      <c r="N12" s="27">
        <v>15</v>
      </c>
      <c r="O12" s="27">
        <v>453</v>
      </c>
      <c r="P12" s="27">
        <v>459</v>
      </c>
      <c r="Q12" s="27">
        <v>338</v>
      </c>
      <c r="R12" s="29">
        <v>421</v>
      </c>
      <c r="S12" s="29">
        <v>150</v>
      </c>
      <c r="T12" s="29">
        <v>191</v>
      </c>
      <c r="U12" s="29">
        <v>392.76</v>
      </c>
      <c r="V12" s="29">
        <v>410</v>
      </c>
      <c r="W12" s="28">
        <v>347</v>
      </c>
      <c r="X12" s="29">
        <v>458.6</v>
      </c>
      <c r="Y12" s="28">
        <v>270</v>
      </c>
      <c r="Z12" s="28">
        <v>395</v>
      </c>
      <c r="AA12" s="29">
        <v>206.97</v>
      </c>
      <c r="AB12" s="29">
        <v>154</v>
      </c>
      <c r="AC12" s="29">
        <v>215.4</v>
      </c>
      <c r="AD12" s="29">
        <v>244.37</v>
      </c>
      <c r="AE12" s="30">
        <v>239.95</v>
      </c>
      <c r="AF12" s="30">
        <v>659.46</v>
      </c>
      <c r="AG12" s="30">
        <v>656.55</v>
      </c>
      <c r="AH12" s="30">
        <v>935</v>
      </c>
      <c r="AI12" s="30">
        <v>421.23</v>
      </c>
      <c r="AJ12" s="30">
        <v>479.96</v>
      </c>
      <c r="AK12" s="30">
        <v>487.84</v>
      </c>
      <c r="AL12" s="30">
        <v>518.77</v>
      </c>
      <c r="AM12" s="30">
        <v>359.18</v>
      </c>
      <c r="AN12" s="30">
        <v>636.4</v>
      </c>
      <c r="AO12" s="31">
        <v>463.57</v>
      </c>
      <c r="AP12" s="30">
        <v>463.57</v>
      </c>
      <c r="AQ12" s="30">
        <v>399.17</v>
      </c>
      <c r="AR12" s="27">
        <v>558</v>
      </c>
      <c r="AS12" s="27">
        <v>698</v>
      </c>
      <c r="AT12" s="27">
        <v>199</v>
      </c>
      <c r="AU12" s="27">
        <v>296</v>
      </c>
      <c r="AV12" s="27">
        <v>252</v>
      </c>
      <c r="AW12" s="27">
        <v>145</v>
      </c>
      <c r="AX12" s="27">
        <v>445</v>
      </c>
    </row>
    <row r="13" spans="1:50" ht="14.4" x14ac:dyDescent="0.3">
      <c r="A13" s="11" t="s">
        <v>9</v>
      </c>
      <c r="B13" s="11">
        <f t="shared" si="1"/>
        <v>11</v>
      </c>
      <c r="C13" s="27">
        <v>291</v>
      </c>
      <c r="D13" s="27">
        <v>351</v>
      </c>
      <c r="E13" s="27">
        <v>239</v>
      </c>
      <c r="F13" s="27">
        <v>251</v>
      </c>
      <c r="G13" s="27">
        <v>151</v>
      </c>
      <c r="H13" s="27">
        <v>184</v>
      </c>
      <c r="I13" s="27">
        <v>217</v>
      </c>
      <c r="J13" s="27">
        <v>318</v>
      </c>
      <c r="K13" s="27">
        <v>78</v>
      </c>
      <c r="L13" s="27">
        <v>133</v>
      </c>
      <c r="M13" s="26">
        <v>0</v>
      </c>
      <c r="N13" s="27">
        <v>119</v>
      </c>
      <c r="O13" s="27">
        <v>555</v>
      </c>
      <c r="P13" s="27">
        <v>550</v>
      </c>
      <c r="Q13" s="27">
        <v>473</v>
      </c>
      <c r="R13" s="29">
        <v>544</v>
      </c>
      <c r="S13" s="29">
        <v>75</v>
      </c>
      <c r="T13" s="29">
        <v>141</v>
      </c>
      <c r="U13" s="29">
        <v>497.12</v>
      </c>
      <c r="V13" s="29">
        <v>500</v>
      </c>
      <c r="W13" s="29">
        <v>447</v>
      </c>
      <c r="X13" s="29">
        <v>551.26</v>
      </c>
      <c r="Y13" s="29">
        <v>400</v>
      </c>
      <c r="Z13" s="29">
        <v>514</v>
      </c>
      <c r="AA13" s="29">
        <v>318</v>
      </c>
      <c r="AB13" s="29">
        <v>269</v>
      </c>
      <c r="AC13" s="29">
        <v>281.08</v>
      </c>
      <c r="AD13" s="29">
        <v>338</v>
      </c>
      <c r="AE13" s="30">
        <v>362.84</v>
      </c>
      <c r="AF13" s="30">
        <v>476.72</v>
      </c>
      <c r="AG13" s="30">
        <v>477.51</v>
      </c>
      <c r="AH13" s="30">
        <v>742.45</v>
      </c>
      <c r="AI13" s="30">
        <v>337.61</v>
      </c>
      <c r="AJ13" s="30">
        <v>432.38</v>
      </c>
      <c r="AK13" s="30">
        <v>491.65</v>
      </c>
      <c r="AL13" s="30">
        <v>559.77</v>
      </c>
      <c r="AM13" s="30">
        <v>429</v>
      </c>
      <c r="AN13" s="30">
        <v>654.46</v>
      </c>
      <c r="AO13" s="31">
        <v>566.04999999999995</v>
      </c>
      <c r="AP13" s="30">
        <v>566.04999999999995</v>
      </c>
      <c r="AQ13" s="30">
        <v>431.09</v>
      </c>
      <c r="AR13" s="27">
        <v>691</v>
      </c>
      <c r="AS13" s="27">
        <v>830</v>
      </c>
      <c r="AT13" s="27">
        <v>117</v>
      </c>
      <c r="AU13" s="27">
        <v>187</v>
      </c>
      <c r="AV13" s="27">
        <v>182</v>
      </c>
      <c r="AW13" s="27">
        <v>152</v>
      </c>
      <c r="AX13" s="27">
        <v>564</v>
      </c>
    </row>
    <row r="14" spans="1:50" ht="14.4" x14ac:dyDescent="0.3">
      <c r="A14" s="11" t="s">
        <v>10</v>
      </c>
      <c r="B14" s="11">
        <f t="shared" si="1"/>
        <v>12</v>
      </c>
      <c r="C14" s="27">
        <v>129</v>
      </c>
      <c r="D14" s="27">
        <v>226</v>
      </c>
      <c r="E14" s="27">
        <v>102</v>
      </c>
      <c r="F14" s="27">
        <v>271</v>
      </c>
      <c r="G14" s="27">
        <v>120</v>
      </c>
      <c r="H14" s="27">
        <v>177</v>
      </c>
      <c r="I14" s="27">
        <v>145</v>
      </c>
      <c r="J14" s="27">
        <v>223</v>
      </c>
      <c r="K14" s="27">
        <v>51</v>
      </c>
      <c r="L14" s="27">
        <v>15</v>
      </c>
      <c r="M14" s="27">
        <v>119</v>
      </c>
      <c r="N14" s="26">
        <v>0</v>
      </c>
      <c r="O14" s="27">
        <v>457</v>
      </c>
      <c r="P14" s="27">
        <v>450</v>
      </c>
      <c r="Q14" s="27">
        <v>312</v>
      </c>
      <c r="R14" s="29">
        <v>385</v>
      </c>
      <c r="S14" s="29">
        <v>216</v>
      </c>
      <c r="T14" s="29">
        <v>270</v>
      </c>
      <c r="U14" s="29">
        <v>460</v>
      </c>
      <c r="V14" s="29">
        <v>741</v>
      </c>
      <c r="W14" s="29">
        <v>417.7</v>
      </c>
      <c r="X14" s="29">
        <v>532.23</v>
      </c>
      <c r="Y14" s="29">
        <v>305.39999999999998</v>
      </c>
      <c r="Z14" s="29">
        <v>446.19</v>
      </c>
      <c r="AA14" s="29">
        <v>276</v>
      </c>
      <c r="AB14" s="29">
        <v>187.85</v>
      </c>
      <c r="AC14" s="29">
        <v>315</v>
      </c>
      <c r="AD14" s="29">
        <v>324.31</v>
      </c>
      <c r="AE14" s="30">
        <v>526.66999999999996</v>
      </c>
      <c r="AF14" s="30">
        <v>569.59</v>
      </c>
      <c r="AG14" s="30">
        <v>578.38</v>
      </c>
      <c r="AH14" s="30">
        <v>785.18</v>
      </c>
      <c r="AI14" s="30">
        <v>534.44000000000005</v>
      </c>
      <c r="AJ14" s="30">
        <v>634.29</v>
      </c>
      <c r="AK14" s="30">
        <v>311.86</v>
      </c>
      <c r="AL14" s="30">
        <v>390.2</v>
      </c>
      <c r="AM14" s="30">
        <v>313.26</v>
      </c>
      <c r="AN14" s="30">
        <v>472.92</v>
      </c>
      <c r="AO14" s="31">
        <v>404.1</v>
      </c>
      <c r="AP14" s="30">
        <v>404.1</v>
      </c>
      <c r="AQ14" s="30">
        <v>282</v>
      </c>
      <c r="AR14" s="27">
        <v>573</v>
      </c>
      <c r="AS14" s="27">
        <v>712</v>
      </c>
      <c r="AT14" s="27">
        <v>243</v>
      </c>
      <c r="AU14" s="27">
        <v>273</v>
      </c>
      <c r="AV14" s="27">
        <v>203</v>
      </c>
      <c r="AW14" s="27">
        <v>280</v>
      </c>
      <c r="AX14" s="27">
        <v>496</v>
      </c>
    </row>
    <row r="15" spans="1:50" ht="14.4" x14ac:dyDescent="0.3">
      <c r="A15" s="11" t="s">
        <v>11</v>
      </c>
      <c r="B15" s="11">
        <f t="shared" si="1"/>
        <v>13</v>
      </c>
      <c r="C15" s="27">
        <v>262</v>
      </c>
      <c r="D15" s="27">
        <v>355</v>
      </c>
      <c r="E15" s="27">
        <v>345</v>
      </c>
      <c r="F15" s="27">
        <v>567</v>
      </c>
      <c r="G15" s="27">
        <v>556</v>
      </c>
      <c r="H15" s="27">
        <v>612</v>
      </c>
      <c r="I15" s="27">
        <v>525</v>
      </c>
      <c r="J15" s="27">
        <v>494</v>
      </c>
      <c r="K15" s="27">
        <v>479</v>
      </c>
      <c r="L15" s="27">
        <v>453</v>
      </c>
      <c r="M15" s="27">
        <v>555</v>
      </c>
      <c r="N15" s="27">
        <v>457</v>
      </c>
      <c r="O15" s="26">
        <v>0</v>
      </c>
      <c r="P15" s="27">
        <v>94</v>
      </c>
      <c r="Q15" s="27">
        <v>177</v>
      </c>
      <c r="R15" s="29">
        <v>155</v>
      </c>
      <c r="S15" s="29">
        <v>599</v>
      </c>
      <c r="T15" s="29">
        <v>644.46</v>
      </c>
      <c r="U15" s="29">
        <v>598</v>
      </c>
      <c r="V15" s="29">
        <v>659.7</v>
      </c>
      <c r="W15" s="29">
        <v>586</v>
      </c>
      <c r="X15" s="29">
        <v>533.23</v>
      </c>
      <c r="Y15" s="29">
        <v>404</v>
      </c>
      <c r="Z15" s="29">
        <v>524.94000000000005</v>
      </c>
      <c r="AA15" s="29">
        <v>494</v>
      </c>
      <c r="AB15" s="29">
        <v>410</v>
      </c>
      <c r="AC15" s="29">
        <v>567</v>
      </c>
      <c r="AD15" s="29">
        <v>556.23</v>
      </c>
      <c r="AE15" s="30">
        <v>241.99</v>
      </c>
      <c r="AF15" s="30">
        <v>539.74</v>
      </c>
      <c r="AG15" s="30">
        <v>535.07000000000005</v>
      </c>
      <c r="AH15" s="30">
        <v>820.96</v>
      </c>
      <c r="AI15" s="30">
        <v>300.11</v>
      </c>
      <c r="AJ15" s="30">
        <v>371.31</v>
      </c>
      <c r="AK15" s="30">
        <v>556.38</v>
      </c>
      <c r="AL15" s="30">
        <v>608.62</v>
      </c>
      <c r="AM15" s="30">
        <v>457.27</v>
      </c>
      <c r="AN15" s="30">
        <v>714.33</v>
      </c>
      <c r="AO15" s="31">
        <v>40.07</v>
      </c>
      <c r="AP15" s="30">
        <v>40.07</v>
      </c>
      <c r="AQ15" s="30">
        <v>477.83</v>
      </c>
      <c r="AR15" s="27">
        <v>949</v>
      </c>
      <c r="AS15" s="27">
        <v>1074</v>
      </c>
      <c r="AT15" s="27">
        <v>417</v>
      </c>
      <c r="AU15" s="27">
        <v>405</v>
      </c>
      <c r="AV15" s="27">
        <v>353</v>
      </c>
      <c r="AW15" s="27">
        <v>414</v>
      </c>
      <c r="AX15" s="27">
        <v>943</v>
      </c>
    </row>
    <row r="16" spans="1:50" ht="14.4" x14ac:dyDescent="0.3">
      <c r="A16" s="11" t="s">
        <v>12</v>
      </c>
      <c r="B16" s="11">
        <f t="shared" si="1"/>
        <v>14</v>
      </c>
      <c r="C16" s="27">
        <v>238</v>
      </c>
      <c r="D16" s="27">
        <v>238</v>
      </c>
      <c r="E16" s="27">
        <v>380</v>
      </c>
      <c r="F16" s="27">
        <v>492</v>
      </c>
      <c r="G16" s="27">
        <v>554</v>
      </c>
      <c r="H16" s="27">
        <v>634</v>
      </c>
      <c r="I16" s="27">
        <v>530</v>
      </c>
      <c r="J16" s="27">
        <v>490</v>
      </c>
      <c r="K16" s="27">
        <v>470</v>
      </c>
      <c r="L16" s="27">
        <v>459</v>
      </c>
      <c r="M16" s="27">
        <v>550</v>
      </c>
      <c r="N16" s="27">
        <v>450</v>
      </c>
      <c r="O16" s="27">
        <v>94</v>
      </c>
      <c r="P16" s="26">
        <v>0</v>
      </c>
      <c r="Q16" s="27">
        <v>90</v>
      </c>
      <c r="R16" s="28">
        <v>71</v>
      </c>
      <c r="S16" s="29">
        <v>548</v>
      </c>
      <c r="T16" s="29">
        <v>588</v>
      </c>
      <c r="U16" s="29">
        <v>512</v>
      </c>
      <c r="V16" s="29">
        <v>575</v>
      </c>
      <c r="W16" s="29">
        <v>501</v>
      </c>
      <c r="X16" s="29">
        <v>598.08000000000004</v>
      </c>
      <c r="Y16" s="29">
        <v>319</v>
      </c>
      <c r="Z16" s="29">
        <v>439</v>
      </c>
      <c r="AA16" s="29">
        <v>414.94</v>
      </c>
      <c r="AB16" s="29">
        <v>337.15</v>
      </c>
      <c r="AC16" s="29">
        <v>491.88</v>
      </c>
      <c r="AD16" s="29">
        <v>476.6</v>
      </c>
      <c r="AE16" s="30">
        <v>51.88</v>
      </c>
      <c r="AF16" s="30">
        <v>739.05</v>
      </c>
      <c r="AG16" s="30">
        <v>730.12</v>
      </c>
      <c r="AH16" s="30">
        <v>1028.82</v>
      </c>
      <c r="AI16" s="30">
        <v>410.19</v>
      </c>
      <c r="AJ16" s="30">
        <v>421.35</v>
      </c>
      <c r="AK16" s="30">
        <v>667.36</v>
      </c>
      <c r="AL16" s="30">
        <v>689.18</v>
      </c>
      <c r="AM16" s="30">
        <v>518.27</v>
      </c>
      <c r="AN16" s="30">
        <v>807.25</v>
      </c>
      <c r="AO16" s="31">
        <v>70.959999999999994</v>
      </c>
      <c r="AP16" s="30">
        <v>70.959999999999994</v>
      </c>
      <c r="AQ16" s="30">
        <v>569.12</v>
      </c>
      <c r="AR16" s="27">
        <v>753</v>
      </c>
      <c r="AS16" s="27">
        <v>961</v>
      </c>
      <c r="AT16" s="27">
        <v>501</v>
      </c>
      <c r="AU16" s="27">
        <v>596</v>
      </c>
      <c r="AV16" s="27">
        <v>504</v>
      </c>
      <c r="AW16" s="27">
        <v>434</v>
      </c>
      <c r="AX16" s="27">
        <v>469</v>
      </c>
    </row>
    <row r="17" spans="1:50" ht="14.4" x14ac:dyDescent="0.3">
      <c r="A17" s="11" t="s">
        <v>13</v>
      </c>
      <c r="B17" s="11">
        <f t="shared" si="1"/>
        <v>15</v>
      </c>
      <c r="C17" s="27">
        <v>236</v>
      </c>
      <c r="D17" s="27">
        <v>412</v>
      </c>
      <c r="E17" s="27">
        <v>249</v>
      </c>
      <c r="F17" s="27">
        <v>436</v>
      </c>
      <c r="G17" s="27">
        <v>435</v>
      </c>
      <c r="H17" s="27">
        <v>634</v>
      </c>
      <c r="I17" s="27">
        <v>402</v>
      </c>
      <c r="J17" s="27">
        <v>382</v>
      </c>
      <c r="K17" s="27">
        <v>420</v>
      </c>
      <c r="L17" s="27">
        <v>338</v>
      </c>
      <c r="M17" s="27">
        <v>473</v>
      </c>
      <c r="N17" s="27">
        <v>312</v>
      </c>
      <c r="O17" s="27">
        <v>177</v>
      </c>
      <c r="P17" s="27">
        <v>90</v>
      </c>
      <c r="Q17" s="26">
        <v>0</v>
      </c>
      <c r="R17" s="28">
        <v>74</v>
      </c>
      <c r="S17" s="29">
        <v>458.9</v>
      </c>
      <c r="T17" s="29">
        <v>487</v>
      </c>
      <c r="U17" s="29">
        <v>375</v>
      </c>
      <c r="V17" s="29">
        <v>437</v>
      </c>
      <c r="W17" s="29">
        <v>362</v>
      </c>
      <c r="X17" s="29">
        <v>461</v>
      </c>
      <c r="Y17" s="29">
        <v>180.4</v>
      </c>
      <c r="Z17" s="29">
        <v>306.25</v>
      </c>
      <c r="AA17" s="29">
        <v>281</v>
      </c>
      <c r="AB17" s="29">
        <v>216</v>
      </c>
      <c r="AC17" s="29">
        <v>363</v>
      </c>
      <c r="AD17" s="29">
        <v>341.97</v>
      </c>
      <c r="AE17" s="30">
        <v>150.47</v>
      </c>
      <c r="AF17" s="30">
        <v>746.02</v>
      </c>
      <c r="AG17" s="30">
        <v>740.33</v>
      </c>
      <c r="AH17" s="30">
        <v>1028.93</v>
      </c>
      <c r="AI17" s="30">
        <v>456.27</v>
      </c>
      <c r="AJ17" s="30">
        <v>487.95</v>
      </c>
      <c r="AK17" s="30">
        <v>571.08000000000004</v>
      </c>
      <c r="AL17" s="30">
        <v>586.66999999999996</v>
      </c>
      <c r="AM17" s="30">
        <v>419.11</v>
      </c>
      <c r="AN17" s="30">
        <v>708.34</v>
      </c>
      <c r="AO17" s="31">
        <v>154.1</v>
      </c>
      <c r="AP17" s="30">
        <v>154.1</v>
      </c>
      <c r="AQ17" s="30">
        <v>471.25</v>
      </c>
      <c r="AR17" s="27">
        <v>313</v>
      </c>
      <c r="AS17" s="27">
        <v>445</v>
      </c>
      <c r="AT17" s="27">
        <v>458</v>
      </c>
      <c r="AU17" s="27">
        <v>559</v>
      </c>
      <c r="AV17" s="27">
        <v>479</v>
      </c>
      <c r="AW17" s="27">
        <v>353</v>
      </c>
      <c r="AX17" s="27">
        <v>341</v>
      </c>
    </row>
    <row r="18" spans="1:50" ht="14.4" x14ac:dyDescent="0.3">
      <c r="A18" s="11" t="s">
        <v>14</v>
      </c>
      <c r="B18" s="11">
        <f t="shared" si="1"/>
        <v>16</v>
      </c>
      <c r="C18" s="28">
        <v>280</v>
      </c>
      <c r="D18" s="28">
        <v>438</v>
      </c>
      <c r="E18" s="28">
        <v>307</v>
      </c>
      <c r="F18" s="28">
        <v>487</v>
      </c>
      <c r="G18" s="28">
        <v>505</v>
      </c>
      <c r="H18" s="28">
        <v>553</v>
      </c>
      <c r="I18" s="29">
        <v>455</v>
      </c>
      <c r="J18" s="29">
        <v>429.58</v>
      </c>
      <c r="K18" s="29">
        <v>466</v>
      </c>
      <c r="L18" s="29">
        <v>421</v>
      </c>
      <c r="M18" s="29">
        <v>544</v>
      </c>
      <c r="N18" s="29">
        <v>385</v>
      </c>
      <c r="O18" s="29">
        <v>155</v>
      </c>
      <c r="P18" s="28">
        <v>71</v>
      </c>
      <c r="Q18" s="28">
        <v>74</v>
      </c>
      <c r="R18" s="26">
        <v>0</v>
      </c>
      <c r="S18" s="29">
        <v>571</v>
      </c>
      <c r="T18" s="29">
        <v>602</v>
      </c>
      <c r="U18" s="29">
        <v>464.6</v>
      </c>
      <c r="V18" s="29">
        <v>531.20000000000005</v>
      </c>
      <c r="W18" s="29">
        <v>461</v>
      </c>
      <c r="X18" s="29">
        <v>548</v>
      </c>
      <c r="Y18" s="29">
        <v>283.7</v>
      </c>
      <c r="Z18" s="29">
        <v>384</v>
      </c>
      <c r="AA18" s="29">
        <v>395</v>
      </c>
      <c r="AB18" s="29">
        <v>333.52</v>
      </c>
      <c r="AC18" s="29">
        <v>479</v>
      </c>
      <c r="AD18" s="29">
        <v>453</v>
      </c>
      <c r="AE18" s="30">
        <v>149.54</v>
      </c>
      <c r="AF18" s="30">
        <v>803.68</v>
      </c>
      <c r="AG18" s="30">
        <v>797.05</v>
      </c>
      <c r="AH18" s="30">
        <v>1088.74</v>
      </c>
      <c r="AI18" s="30">
        <v>498.22</v>
      </c>
      <c r="AJ18" s="30">
        <v>518.24</v>
      </c>
      <c r="AK18" s="30">
        <v>609.39</v>
      </c>
      <c r="AL18" s="30">
        <v>611.78</v>
      </c>
      <c r="AM18" s="30">
        <v>449.28</v>
      </c>
      <c r="AN18" s="30">
        <v>738.84</v>
      </c>
      <c r="AO18" s="31">
        <v>122.49</v>
      </c>
      <c r="AP18" s="29">
        <v>727</v>
      </c>
      <c r="AQ18" s="30">
        <v>506.76</v>
      </c>
      <c r="AR18" s="27">
        <v>307</v>
      </c>
      <c r="AS18" s="27">
        <v>418</v>
      </c>
      <c r="AT18" s="27">
        <v>550</v>
      </c>
      <c r="AU18" s="27">
        <v>648</v>
      </c>
      <c r="AV18" s="27">
        <v>561</v>
      </c>
      <c r="AW18" s="27">
        <v>441</v>
      </c>
      <c r="AX18" s="27">
        <v>409</v>
      </c>
    </row>
    <row r="19" spans="1:50" ht="14.4" x14ac:dyDescent="0.3">
      <c r="A19" s="11" t="s">
        <v>15</v>
      </c>
      <c r="B19" s="11">
        <f t="shared" si="1"/>
        <v>17</v>
      </c>
      <c r="C19" s="28">
        <v>336</v>
      </c>
      <c r="D19" s="28">
        <v>400</v>
      </c>
      <c r="E19" s="28">
        <v>264</v>
      </c>
      <c r="F19" s="28">
        <v>202</v>
      </c>
      <c r="G19" s="28">
        <v>101</v>
      </c>
      <c r="H19" s="28">
        <v>119</v>
      </c>
      <c r="I19" s="28">
        <v>181</v>
      </c>
      <c r="J19" s="28">
        <v>148</v>
      </c>
      <c r="K19" s="29">
        <v>470</v>
      </c>
      <c r="L19" s="29">
        <v>150</v>
      </c>
      <c r="M19" s="29">
        <v>75</v>
      </c>
      <c r="N19" s="29">
        <v>216</v>
      </c>
      <c r="O19" s="29">
        <v>599</v>
      </c>
      <c r="P19" s="29">
        <v>548</v>
      </c>
      <c r="Q19" s="29">
        <v>458.9</v>
      </c>
      <c r="R19" s="29">
        <v>571</v>
      </c>
      <c r="S19" s="26">
        <v>0</v>
      </c>
      <c r="T19" s="29">
        <v>66</v>
      </c>
      <c r="U19" s="29">
        <v>457.08</v>
      </c>
      <c r="V19" s="29">
        <v>450.4</v>
      </c>
      <c r="W19" s="29">
        <v>406</v>
      </c>
      <c r="X19" s="29">
        <v>502</v>
      </c>
      <c r="Y19" s="29">
        <v>389</v>
      </c>
      <c r="Z19" s="29">
        <v>486</v>
      </c>
      <c r="AA19" s="29">
        <v>288</v>
      </c>
      <c r="AB19" s="29">
        <v>264.05</v>
      </c>
      <c r="AC19" s="29">
        <v>234</v>
      </c>
      <c r="AD19" s="29">
        <v>296</v>
      </c>
      <c r="AE19" s="30">
        <v>84.8</v>
      </c>
      <c r="AF19" s="30">
        <v>710.72</v>
      </c>
      <c r="AG19" s="30">
        <v>702.71</v>
      </c>
      <c r="AH19" s="30">
        <v>998.49</v>
      </c>
      <c r="AI19" s="30">
        <v>397.28</v>
      </c>
      <c r="AJ19" s="30">
        <v>420.25</v>
      </c>
      <c r="AK19" s="30">
        <v>628.42999999999995</v>
      </c>
      <c r="AL19" s="30">
        <v>645.79</v>
      </c>
      <c r="AM19" s="30">
        <v>483.88</v>
      </c>
      <c r="AN19" s="30">
        <v>771.14</v>
      </c>
      <c r="AO19" s="31">
        <v>589.30999999999995</v>
      </c>
      <c r="AP19" s="29" t="s">
        <v>48</v>
      </c>
      <c r="AQ19" s="30">
        <v>531.82000000000005</v>
      </c>
      <c r="AR19" s="27">
        <v>683</v>
      </c>
      <c r="AS19" s="27">
        <v>821</v>
      </c>
      <c r="AT19" s="27">
        <v>190</v>
      </c>
      <c r="AU19" s="27">
        <v>247</v>
      </c>
      <c r="AV19" s="27">
        <v>256</v>
      </c>
      <c r="AW19" s="27">
        <v>219</v>
      </c>
      <c r="AX19" s="27">
        <v>534</v>
      </c>
    </row>
    <row r="20" spans="1:50" ht="14.4" x14ac:dyDescent="0.3">
      <c r="A20" s="11" t="s">
        <v>16</v>
      </c>
      <c r="B20" s="11">
        <f t="shared" si="1"/>
        <v>18</v>
      </c>
      <c r="C20" s="29">
        <v>386</v>
      </c>
      <c r="D20" s="29">
        <v>464</v>
      </c>
      <c r="E20" s="28">
        <v>301</v>
      </c>
      <c r="F20" s="28">
        <v>179</v>
      </c>
      <c r="G20" s="28">
        <v>100</v>
      </c>
      <c r="H20" s="28">
        <v>81</v>
      </c>
      <c r="I20" s="28">
        <v>174</v>
      </c>
      <c r="J20" s="28">
        <v>168</v>
      </c>
      <c r="K20" s="28">
        <v>183</v>
      </c>
      <c r="L20" s="29">
        <v>191</v>
      </c>
      <c r="M20" s="29">
        <v>141</v>
      </c>
      <c r="N20" s="29">
        <v>270</v>
      </c>
      <c r="O20" s="29">
        <v>644.46</v>
      </c>
      <c r="P20" s="29">
        <v>588</v>
      </c>
      <c r="Q20" s="29">
        <v>487</v>
      </c>
      <c r="R20" s="29">
        <v>602</v>
      </c>
      <c r="S20" s="29">
        <v>66</v>
      </c>
      <c r="T20" s="26">
        <v>0</v>
      </c>
      <c r="U20" s="29">
        <v>431</v>
      </c>
      <c r="V20" s="29">
        <v>415</v>
      </c>
      <c r="W20" s="29">
        <v>380</v>
      </c>
      <c r="X20" s="29">
        <v>467</v>
      </c>
      <c r="Y20" s="29">
        <v>393</v>
      </c>
      <c r="Z20" s="29">
        <v>473</v>
      </c>
      <c r="AA20" s="29">
        <v>280</v>
      </c>
      <c r="AB20" s="29">
        <v>279</v>
      </c>
      <c r="AC20" s="29">
        <v>209</v>
      </c>
      <c r="AD20" s="29">
        <v>274</v>
      </c>
      <c r="AE20" s="30">
        <v>158.01</v>
      </c>
      <c r="AF20" s="30">
        <v>676.36</v>
      </c>
      <c r="AG20" s="30">
        <v>670.83</v>
      </c>
      <c r="AH20" s="30">
        <v>959.06</v>
      </c>
      <c r="AI20" s="30">
        <v>397.85</v>
      </c>
      <c r="AJ20" s="30">
        <v>440.66</v>
      </c>
      <c r="AK20" s="30">
        <v>558.25</v>
      </c>
      <c r="AL20" s="30">
        <v>586.45000000000005</v>
      </c>
      <c r="AM20" s="30">
        <v>420</v>
      </c>
      <c r="AN20" s="30">
        <v>712.62</v>
      </c>
      <c r="AO20" s="31">
        <v>650.32000000000005</v>
      </c>
      <c r="AP20" s="29">
        <v>600.21</v>
      </c>
      <c r="AQ20" s="30">
        <v>463.86</v>
      </c>
      <c r="AR20" s="27">
        <v>686</v>
      </c>
      <c r="AS20" s="27">
        <v>821</v>
      </c>
      <c r="AT20" s="27">
        <v>256</v>
      </c>
      <c r="AU20" s="27">
        <v>305</v>
      </c>
      <c r="AV20" s="27">
        <v>321</v>
      </c>
      <c r="AW20" s="27">
        <v>282</v>
      </c>
      <c r="AX20" s="27">
        <v>519</v>
      </c>
    </row>
    <row r="21" spans="1:50" ht="15.75" customHeight="1" x14ac:dyDescent="0.3">
      <c r="A21" s="11" t="s">
        <v>17</v>
      </c>
      <c r="B21" s="11">
        <f t="shared" si="1"/>
        <v>19</v>
      </c>
      <c r="C21" s="29">
        <v>474</v>
      </c>
      <c r="D21" s="29">
        <v>669</v>
      </c>
      <c r="E21" s="28">
        <v>376</v>
      </c>
      <c r="F21" s="28">
        <v>255</v>
      </c>
      <c r="G21" s="28">
        <v>357</v>
      </c>
      <c r="H21" s="28">
        <v>351</v>
      </c>
      <c r="I21" s="28">
        <v>280</v>
      </c>
      <c r="J21" s="28">
        <v>341</v>
      </c>
      <c r="K21" s="28">
        <v>457</v>
      </c>
      <c r="L21" s="29">
        <v>392.76</v>
      </c>
      <c r="M21" s="29">
        <v>497.12</v>
      </c>
      <c r="N21" s="29">
        <v>460</v>
      </c>
      <c r="O21" s="29">
        <v>598</v>
      </c>
      <c r="P21" s="29">
        <v>512</v>
      </c>
      <c r="Q21" s="29">
        <v>375</v>
      </c>
      <c r="R21" s="29">
        <v>464.6</v>
      </c>
      <c r="S21" s="29">
        <v>457.08</v>
      </c>
      <c r="T21" s="29">
        <v>431</v>
      </c>
      <c r="U21" s="26">
        <v>0</v>
      </c>
      <c r="V21" s="29">
        <v>71.400000000000006</v>
      </c>
      <c r="W21" s="29">
        <v>51.3</v>
      </c>
      <c r="X21" s="29">
        <v>86</v>
      </c>
      <c r="Y21" s="29">
        <v>198.8</v>
      </c>
      <c r="Z21" s="29">
        <v>136</v>
      </c>
      <c r="AA21" s="29">
        <v>186</v>
      </c>
      <c r="AB21" s="29">
        <v>275</v>
      </c>
      <c r="AC21" s="29">
        <v>223</v>
      </c>
      <c r="AD21" s="29">
        <v>160.77000000000001</v>
      </c>
      <c r="AE21" s="30">
        <v>272.8</v>
      </c>
      <c r="AF21" s="30">
        <v>688.17</v>
      </c>
      <c r="AG21" s="30">
        <v>686.79</v>
      </c>
      <c r="AH21" s="30">
        <v>957.08</v>
      </c>
      <c r="AI21" s="30">
        <v>468.5</v>
      </c>
      <c r="AJ21" s="30">
        <v>530.29</v>
      </c>
      <c r="AK21" s="30">
        <v>441.61</v>
      </c>
      <c r="AL21" s="30">
        <v>469.37</v>
      </c>
      <c r="AM21" s="30">
        <v>308.38</v>
      </c>
      <c r="AN21" s="30">
        <v>587.86</v>
      </c>
      <c r="AO21" s="31">
        <v>594.69000000000005</v>
      </c>
      <c r="AP21" s="29" t="s">
        <v>49</v>
      </c>
      <c r="AQ21" s="30">
        <v>347.67</v>
      </c>
      <c r="AR21" s="27">
        <v>338</v>
      </c>
      <c r="AS21" s="27">
        <v>444</v>
      </c>
      <c r="AT21" s="27">
        <v>590</v>
      </c>
      <c r="AU21" s="27">
        <v>681</v>
      </c>
      <c r="AV21" s="27">
        <v>645</v>
      </c>
      <c r="AW21" s="27">
        <v>530</v>
      </c>
      <c r="AX21" s="27">
        <v>110</v>
      </c>
    </row>
    <row r="22" spans="1:50" ht="15" customHeight="1" x14ac:dyDescent="0.3">
      <c r="A22" s="11" t="s">
        <v>18</v>
      </c>
      <c r="B22" s="11">
        <f t="shared" si="1"/>
        <v>20</v>
      </c>
      <c r="C22" s="29">
        <v>517</v>
      </c>
      <c r="D22" s="28">
        <v>703</v>
      </c>
      <c r="E22" s="28">
        <v>412</v>
      </c>
      <c r="F22" s="28">
        <v>250</v>
      </c>
      <c r="G22" s="28">
        <v>355</v>
      </c>
      <c r="H22" s="28">
        <v>336</v>
      </c>
      <c r="I22" s="28">
        <v>284</v>
      </c>
      <c r="J22" s="28">
        <v>353</v>
      </c>
      <c r="K22" s="29">
        <v>470</v>
      </c>
      <c r="L22" s="29">
        <v>410</v>
      </c>
      <c r="M22" s="29">
        <v>500</v>
      </c>
      <c r="N22" s="29">
        <v>741</v>
      </c>
      <c r="O22" s="29">
        <v>659.7</v>
      </c>
      <c r="P22" s="29">
        <v>575</v>
      </c>
      <c r="Q22" s="29">
        <v>437</v>
      </c>
      <c r="R22" s="29">
        <v>531.20000000000005</v>
      </c>
      <c r="S22" s="29">
        <v>450.4</v>
      </c>
      <c r="T22" s="29">
        <v>415</v>
      </c>
      <c r="U22" s="29">
        <v>71.400000000000006</v>
      </c>
      <c r="V22" s="26">
        <v>0</v>
      </c>
      <c r="W22" s="29">
        <v>76</v>
      </c>
      <c r="X22" s="29">
        <v>52.32</v>
      </c>
      <c r="Y22" s="29">
        <v>164</v>
      </c>
      <c r="Z22" s="29">
        <v>164.47</v>
      </c>
      <c r="AA22" s="29">
        <v>210.24</v>
      </c>
      <c r="AB22" s="29">
        <v>331.89</v>
      </c>
      <c r="AC22" s="29">
        <v>218.53</v>
      </c>
      <c r="AD22" s="29">
        <v>164</v>
      </c>
      <c r="AE22" s="30">
        <v>239.95</v>
      </c>
      <c r="AF22" s="30">
        <v>659.46</v>
      </c>
      <c r="AG22" s="30">
        <v>656.55</v>
      </c>
      <c r="AH22" s="30">
        <v>935</v>
      </c>
      <c r="AI22" s="30">
        <v>421.23</v>
      </c>
      <c r="AJ22" s="30">
        <v>479.96</v>
      </c>
      <c r="AK22" s="30">
        <v>487.84</v>
      </c>
      <c r="AL22" s="30">
        <v>518.77</v>
      </c>
      <c r="AM22" s="30">
        <v>359.18</v>
      </c>
      <c r="AN22" s="30">
        <v>636.4</v>
      </c>
      <c r="AO22" s="31">
        <v>639.36</v>
      </c>
      <c r="AP22" s="29" t="s">
        <v>50</v>
      </c>
      <c r="AQ22" s="30">
        <v>399.17</v>
      </c>
      <c r="AR22" s="27">
        <v>406</v>
      </c>
      <c r="AS22" s="27">
        <v>506</v>
      </c>
      <c r="AT22" s="27">
        <v>601</v>
      </c>
      <c r="AU22" s="27">
        <v>686</v>
      </c>
      <c r="AV22" s="27">
        <v>659</v>
      </c>
      <c r="AW22" s="27">
        <v>552</v>
      </c>
      <c r="AX22" s="27">
        <v>175</v>
      </c>
    </row>
    <row r="23" spans="1:50" ht="15.75" customHeight="1" x14ac:dyDescent="0.3">
      <c r="A23" s="11" t="s">
        <v>19</v>
      </c>
      <c r="B23" s="11">
        <f t="shared" si="1"/>
        <v>21</v>
      </c>
      <c r="C23" s="29">
        <v>443</v>
      </c>
      <c r="D23" s="29">
        <v>632</v>
      </c>
      <c r="E23" s="28">
        <v>339</v>
      </c>
      <c r="F23" s="28">
        <v>204</v>
      </c>
      <c r="G23" s="28">
        <v>315</v>
      </c>
      <c r="H23" s="28">
        <v>299</v>
      </c>
      <c r="I23" s="28">
        <v>238</v>
      </c>
      <c r="J23" s="28">
        <v>302</v>
      </c>
      <c r="K23" s="29">
        <v>409.6</v>
      </c>
      <c r="L23" s="28">
        <v>347</v>
      </c>
      <c r="M23" s="29">
        <v>447</v>
      </c>
      <c r="N23" s="29">
        <v>417.7</v>
      </c>
      <c r="O23" s="29">
        <v>586</v>
      </c>
      <c r="P23" s="29">
        <v>501</v>
      </c>
      <c r="Q23" s="29">
        <v>362</v>
      </c>
      <c r="R23" s="29">
        <v>461</v>
      </c>
      <c r="S23" s="29">
        <v>406</v>
      </c>
      <c r="T23" s="29">
        <v>380</v>
      </c>
      <c r="U23" s="29">
        <v>51.3</v>
      </c>
      <c r="V23" s="29">
        <v>76</v>
      </c>
      <c r="W23" s="26">
        <v>0</v>
      </c>
      <c r="X23" s="29">
        <v>115</v>
      </c>
      <c r="Y23" s="29">
        <v>89</v>
      </c>
      <c r="Z23" s="29">
        <v>120</v>
      </c>
      <c r="AA23" s="29">
        <v>141</v>
      </c>
      <c r="AB23" s="29">
        <v>259.60000000000002</v>
      </c>
      <c r="AC23" s="29">
        <v>179.78</v>
      </c>
      <c r="AD23" s="29">
        <v>109.97</v>
      </c>
      <c r="AE23" s="30">
        <v>241.99</v>
      </c>
      <c r="AF23" s="30">
        <v>539.74</v>
      </c>
      <c r="AG23" s="30">
        <v>535.07000000000005</v>
      </c>
      <c r="AH23" s="30">
        <v>820.96</v>
      </c>
      <c r="AI23" s="30">
        <v>300.11</v>
      </c>
      <c r="AJ23" s="30">
        <v>371.31</v>
      </c>
      <c r="AK23" s="30">
        <v>556.38</v>
      </c>
      <c r="AL23" s="30">
        <v>608.62</v>
      </c>
      <c r="AM23" s="30">
        <v>457.27</v>
      </c>
      <c r="AN23" s="30">
        <v>714.33</v>
      </c>
      <c r="AO23" s="31">
        <v>567.19000000000005</v>
      </c>
      <c r="AP23" s="29" t="s">
        <v>51</v>
      </c>
      <c r="AQ23" s="30">
        <v>477.83</v>
      </c>
      <c r="AR23" s="27">
        <v>368</v>
      </c>
      <c r="AS23" s="27">
        <v>481</v>
      </c>
      <c r="AT23" s="27">
        <v>551</v>
      </c>
      <c r="AU23" s="27">
        <v>641</v>
      </c>
      <c r="AV23" s="27">
        <v>607</v>
      </c>
      <c r="AW23" s="27">
        <v>495</v>
      </c>
      <c r="AX23" s="27">
        <v>151</v>
      </c>
    </row>
    <row r="24" spans="1:50" ht="15.75" customHeight="1" x14ac:dyDescent="0.3">
      <c r="A24" s="11" t="s">
        <v>20</v>
      </c>
      <c r="B24" s="11">
        <f t="shared" si="1"/>
        <v>22</v>
      </c>
      <c r="C24" s="29">
        <v>556</v>
      </c>
      <c r="D24" s="29">
        <v>746.8</v>
      </c>
      <c r="E24" s="29">
        <v>454.08</v>
      </c>
      <c r="F24" s="29">
        <v>301.63</v>
      </c>
      <c r="G24" s="29">
        <v>406.82</v>
      </c>
      <c r="H24" s="29">
        <v>388.26</v>
      </c>
      <c r="I24" s="29">
        <v>335</v>
      </c>
      <c r="J24" s="29">
        <v>402.7</v>
      </c>
      <c r="K24" s="29">
        <v>519.57000000000005</v>
      </c>
      <c r="L24" s="29">
        <v>458.6</v>
      </c>
      <c r="M24" s="29">
        <v>551.26</v>
      </c>
      <c r="N24" s="29">
        <v>532.23</v>
      </c>
      <c r="O24" s="29">
        <v>533.23</v>
      </c>
      <c r="P24" s="29">
        <v>598.08000000000004</v>
      </c>
      <c r="Q24" s="29">
        <v>461</v>
      </c>
      <c r="R24" s="29">
        <v>548</v>
      </c>
      <c r="S24" s="29">
        <v>502</v>
      </c>
      <c r="T24" s="29">
        <v>467</v>
      </c>
      <c r="U24" s="29">
        <v>86</v>
      </c>
      <c r="V24" s="29">
        <v>52.32</v>
      </c>
      <c r="W24" s="29">
        <v>115</v>
      </c>
      <c r="X24" s="26">
        <v>0</v>
      </c>
      <c r="Y24" s="29">
        <v>196</v>
      </c>
      <c r="Z24" s="29">
        <v>167</v>
      </c>
      <c r="AA24" s="29">
        <v>255.8</v>
      </c>
      <c r="AB24" s="29">
        <v>351.9</v>
      </c>
      <c r="AC24" s="29">
        <v>270</v>
      </c>
      <c r="AD24" s="29">
        <v>215</v>
      </c>
      <c r="AE24" s="30">
        <v>51.88</v>
      </c>
      <c r="AF24" s="30">
        <v>739.05</v>
      </c>
      <c r="AG24" s="30">
        <v>730.12</v>
      </c>
      <c r="AH24" s="30">
        <v>1028.82</v>
      </c>
      <c r="AI24" s="30">
        <v>410.19</v>
      </c>
      <c r="AJ24" s="30">
        <v>421.35</v>
      </c>
      <c r="AK24" s="30">
        <v>667.36</v>
      </c>
      <c r="AL24" s="30">
        <v>689.18</v>
      </c>
      <c r="AM24" s="30">
        <v>518.27</v>
      </c>
      <c r="AN24" s="30">
        <v>807.25</v>
      </c>
      <c r="AO24" s="31">
        <v>664.88</v>
      </c>
      <c r="AP24" s="29" t="s">
        <v>52</v>
      </c>
      <c r="AQ24" s="30">
        <v>569.12</v>
      </c>
      <c r="AR24" s="27">
        <v>393</v>
      </c>
      <c r="AS24" s="27">
        <v>482</v>
      </c>
      <c r="AT24" s="27">
        <v>652</v>
      </c>
      <c r="AU24" s="27">
        <v>738</v>
      </c>
      <c r="AV24" s="27">
        <v>709</v>
      </c>
      <c r="AW24" s="27">
        <v>600</v>
      </c>
      <c r="AX24" s="27">
        <v>163</v>
      </c>
    </row>
    <row r="25" spans="1:50" ht="15.75" customHeight="1" x14ac:dyDescent="0.3">
      <c r="A25" s="11" t="s">
        <v>21</v>
      </c>
      <c r="B25" s="11">
        <f t="shared" si="1"/>
        <v>23</v>
      </c>
      <c r="C25" s="29">
        <v>362</v>
      </c>
      <c r="D25" s="28">
        <v>490</v>
      </c>
      <c r="E25" s="28">
        <v>206</v>
      </c>
      <c r="F25" s="28">
        <v>234</v>
      </c>
      <c r="G25" s="28">
        <v>296</v>
      </c>
      <c r="H25" s="28">
        <v>323</v>
      </c>
      <c r="I25" s="28">
        <v>221</v>
      </c>
      <c r="J25" s="28">
        <v>242</v>
      </c>
      <c r="K25" s="29">
        <v>336</v>
      </c>
      <c r="L25" s="28">
        <v>270</v>
      </c>
      <c r="M25" s="29">
        <v>400</v>
      </c>
      <c r="N25" s="29">
        <v>305.39999999999998</v>
      </c>
      <c r="O25" s="29">
        <v>404</v>
      </c>
      <c r="P25" s="29">
        <v>319</v>
      </c>
      <c r="Q25" s="29">
        <v>180.4</v>
      </c>
      <c r="R25" s="29">
        <v>283.7</v>
      </c>
      <c r="S25" s="29">
        <v>389</v>
      </c>
      <c r="T25" s="29">
        <v>393</v>
      </c>
      <c r="U25" s="29">
        <v>198.8</v>
      </c>
      <c r="V25" s="29">
        <v>164</v>
      </c>
      <c r="W25" s="29">
        <v>89</v>
      </c>
      <c r="X25" s="29">
        <v>196</v>
      </c>
      <c r="Y25" s="26">
        <v>0</v>
      </c>
      <c r="Z25" s="29">
        <v>149</v>
      </c>
      <c r="AA25" s="29">
        <v>126</v>
      </c>
      <c r="AB25" s="29">
        <v>131.6</v>
      </c>
      <c r="AC25" s="29">
        <v>171.7</v>
      </c>
      <c r="AD25" s="29">
        <v>175.7</v>
      </c>
      <c r="AE25" s="30">
        <v>150.47</v>
      </c>
      <c r="AF25" s="30">
        <v>746.02</v>
      </c>
      <c r="AG25" s="30">
        <v>740.33</v>
      </c>
      <c r="AH25" s="30">
        <v>1028.93</v>
      </c>
      <c r="AI25" s="30">
        <v>456.27</v>
      </c>
      <c r="AJ25" s="30">
        <v>487.95</v>
      </c>
      <c r="AK25" s="30">
        <v>571.08000000000004</v>
      </c>
      <c r="AL25" s="30">
        <v>586.66999999999996</v>
      </c>
      <c r="AM25" s="30">
        <v>419.11</v>
      </c>
      <c r="AN25" s="30">
        <v>708.34</v>
      </c>
      <c r="AO25" s="31">
        <v>476.68</v>
      </c>
      <c r="AP25" s="29" t="s">
        <v>53</v>
      </c>
      <c r="AQ25" s="30">
        <v>471.25</v>
      </c>
      <c r="AR25" s="27">
        <v>295</v>
      </c>
      <c r="AS25" s="27">
        <v>432</v>
      </c>
      <c r="AT25" s="27">
        <v>464</v>
      </c>
      <c r="AU25" s="27">
        <v>569</v>
      </c>
      <c r="AV25" s="27">
        <v>506</v>
      </c>
      <c r="AW25" s="27">
        <v>380</v>
      </c>
      <c r="AX25" s="27">
        <v>139</v>
      </c>
    </row>
    <row r="26" spans="1:50" ht="15.75" customHeight="1" x14ac:dyDescent="0.3">
      <c r="A26" s="11" t="s">
        <v>22</v>
      </c>
      <c r="B26" s="11">
        <f t="shared" si="1"/>
        <v>24</v>
      </c>
      <c r="C26" s="29">
        <v>437</v>
      </c>
      <c r="D26" s="29">
        <v>638.87</v>
      </c>
      <c r="E26" s="28">
        <v>351</v>
      </c>
      <c r="F26" s="28">
        <v>295</v>
      </c>
      <c r="G26" s="28">
        <v>387</v>
      </c>
      <c r="H26" s="29">
        <v>394</v>
      </c>
      <c r="I26" s="28">
        <v>305</v>
      </c>
      <c r="J26" s="28">
        <v>353</v>
      </c>
      <c r="K26" s="29">
        <v>462</v>
      </c>
      <c r="L26" s="28">
        <v>395</v>
      </c>
      <c r="M26" s="29">
        <v>514</v>
      </c>
      <c r="N26" s="29">
        <v>446.19</v>
      </c>
      <c r="O26" s="29">
        <v>524.94000000000005</v>
      </c>
      <c r="P26" s="29">
        <v>439</v>
      </c>
      <c r="Q26" s="29">
        <v>306.25</v>
      </c>
      <c r="R26" s="29">
        <v>384</v>
      </c>
      <c r="S26" s="29">
        <v>486</v>
      </c>
      <c r="T26" s="29">
        <v>473</v>
      </c>
      <c r="U26" s="29">
        <v>136</v>
      </c>
      <c r="V26" s="29">
        <v>164.47</v>
      </c>
      <c r="W26" s="29">
        <v>120</v>
      </c>
      <c r="X26" s="29">
        <v>167</v>
      </c>
      <c r="Y26" s="29">
        <v>149</v>
      </c>
      <c r="Z26" s="26">
        <v>0</v>
      </c>
      <c r="AA26" s="29">
        <v>198</v>
      </c>
      <c r="AB26" s="29">
        <v>262</v>
      </c>
      <c r="AC26" s="29">
        <v>265</v>
      </c>
      <c r="AD26" s="29">
        <v>202</v>
      </c>
      <c r="AE26" s="30">
        <v>149.54</v>
      </c>
      <c r="AF26" s="30">
        <v>803.68</v>
      </c>
      <c r="AG26" s="30">
        <v>797.05</v>
      </c>
      <c r="AH26" s="30">
        <v>1088.74</v>
      </c>
      <c r="AI26" s="30">
        <v>498.22</v>
      </c>
      <c r="AJ26" s="30">
        <v>518.24</v>
      </c>
      <c r="AK26" s="30">
        <v>609.39</v>
      </c>
      <c r="AL26" s="30">
        <v>611.78</v>
      </c>
      <c r="AM26" s="30">
        <v>449.28</v>
      </c>
      <c r="AN26" s="30">
        <v>738.84</v>
      </c>
      <c r="AO26" s="31">
        <v>499.96</v>
      </c>
      <c r="AP26" s="29" t="s">
        <v>54</v>
      </c>
      <c r="AQ26" s="30">
        <v>506.76</v>
      </c>
      <c r="AR26" s="27">
        <v>249</v>
      </c>
      <c r="AS26" s="27">
        <v>365</v>
      </c>
      <c r="AT26" s="27">
        <v>594</v>
      </c>
      <c r="AU26" s="27">
        <v>691</v>
      </c>
      <c r="AV26" s="27">
        <v>643</v>
      </c>
      <c r="AW26" s="27">
        <v>520</v>
      </c>
      <c r="AX26" s="27">
        <v>45</v>
      </c>
    </row>
    <row r="27" spans="1:50" ht="15.75" customHeight="1" x14ac:dyDescent="0.3">
      <c r="A27" s="11" t="s">
        <v>23</v>
      </c>
      <c r="B27" s="11">
        <f t="shared" si="1"/>
        <v>25</v>
      </c>
      <c r="C27" s="29">
        <v>312</v>
      </c>
      <c r="D27" s="29">
        <v>493.1</v>
      </c>
      <c r="E27" s="28">
        <v>203</v>
      </c>
      <c r="F27" s="28">
        <v>110</v>
      </c>
      <c r="G27" s="28">
        <v>189</v>
      </c>
      <c r="H27" s="28">
        <v>204</v>
      </c>
      <c r="I27" s="28">
        <v>108</v>
      </c>
      <c r="J27" s="28">
        <v>157</v>
      </c>
      <c r="K27" s="29">
        <v>272</v>
      </c>
      <c r="L27" s="29">
        <v>206.97</v>
      </c>
      <c r="M27" s="29">
        <v>318</v>
      </c>
      <c r="N27" s="29">
        <v>276</v>
      </c>
      <c r="O27" s="29">
        <v>494</v>
      </c>
      <c r="P27" s="29">
        <v>414.94</v>
      </c>
      <c r="Q27" s="29">
        <v>281</v>
      </c>
      <c r="R27" s="29">
        <v>395</v>
      </c>
      <c r="S27" s="29">
        <v>288</v>
      </c>
      <c r="T27" s="29">
        <v>280</v>
      </c>
      <c r="U27" s="29">
        <v>186</v>
      </c>
      <c r="V27" s="29">
        <v>210.24</v>
      </c>
      <c r="W27" s="29">
        <v>141</v>
      </c>
      <c r="X27" s="29">
        <v>255.8</v>
      </c>
      <c r="Y27" s="29">
        <v>126</v>
      </c>
      <c r="Z27" s="29">
        <v>198</v>
      </c>
      <c r="AA27" s="26">
        <v>0</v>
      </c>
      <c r="AB27" s="29">
        <v>100</v>
      </c>
      <c r="AC27" s="29">
        <v>90</v>
      </c>
      <c r="AD27" s="29">
        <v>62</v>
      </c>
      <c r="AE27" s="30">
        <v>84.8</v>
      </c>
      <c r="AF27" s="30">
        <v>710.72</v>
      </c>
      <c r="AG27" s="30">
        <v>702.71</v>
      </c>
      <c r="AH27" s="30">
        <v>998.49</v>
      </c>
      <c r="AI27" s="30">
        <v>397.28</v>
      </c>
      <c r="AJ27" s="30">
        <v>420.25</v>
      </c>
      <c r="AK27" s="30">
        <v>628.42999999999995</v>
      </c>
      <c r="AL27" s="30">
        <v>645.79</v>
      </c>
      <c r="AM27" s="30">
        <v>483.88</v>
      </c>
      <c r="AN27" s="30">
        <v>771.14</v>
      </c>
      <c r="AO27" s="31">
        <v>482.73</v>
      </c>
      <c r="AP27" s="29" t="s">
        <v>55</v>
      </c>
      <c r="AQ27" s="30">
        <v>531.82000000000005</v>
      </c>
      <c r="AR27" s="27">
        <v>408</v>
      </c>
      <c r="AS27" s="27">
        <v>541</v>
      </c>
      <c r="AT27" s="27">
        <v>405</v>
      </c>
      <c r="AU27" s="27">
        <v>498</v>
      </c>
      <c r="AV27" s="27">
        <v>459</v>
      </c>
      <c r="AW27" s="27">
        <v>345</v>
      </c>
      <c r="AX27" s="27">
        <v>242</v>
      </c>
    </row>
    <row r="28" spans="1:50" ht="15.75" customHeight="1" x14ac:dyDescent="0.3">
      <c r="A28" s="11" t="s">
        <v>24</v>
      </c>
      <c r="B28" s="11">
        <f t="shared" si="1"/>
        <v>26</v>
      </c>
      <c r="C28" s="29">
        <v>211</v>
      </c>
      <c r="D28" s="29">
        <v>373</v>
      </c>
      <c r="E28" s="28">
        <v>103</v>
      </c>
      <c r="F28" s="28">
        <v>157</v>
      </c>
      <c r="G28" s="29">
        <v>179</v>
      </c>
      <c r="H28" s="29">
        <v>221.18</v>
      </c>
      <c r="I28" s="29">
        <v>121</v>
      </c>
      <c r="J28" s="29">
        <v>116</v>
      </c>
      <c r="K28" s="29">
        <v>205.3</v>
      </c>
      <c r="L28" s="29">
        <v>154</v>
      </c>
      <c r="M28" s="29">
        <v>269</v>
      </c>
      <c r="N28" s="29">
        <v>187.85</v>
      </c>
      <c r="O28" s="29">
        <v>410</v>
      </c>
      <c r="P28" s="29">
        <v>337.15</v>
      </c>
      <c r="Q28" s="29">
        <v>216</v>
      </c>
      <c r="R28" s="29">
        <v>333.52</v>
      </c>
      <c r="S28" s="29">
        <v>264.05</v>
      </c>
      <c r="T28" s="29">
        <v>279</v>
      </c>
      <c r="U28" s="29">
        <v>275</v>
      </c>
      <c r="V28" s="29">
        <v>331.89</v>
      </c>
      <c r="W28" s="29">
        <v>259.60000000000002</v>
      </c>
      <c r="X28" s="29">
        <v>351.9</v>
      </c>
      <c r="Y28" s="29">
        <v>131.6</v>
      </c>
      <c r="Z28" s="29">
        <v>262</v>
      </c>
      <c r="AA28" s="29">
        <v>100</v>
      </c>
      <c r="AB28" s="26">
        <v>0</v>
      </c>
      <c r="AC28" s="29">
        <v>156</v>
      </c>
      <c r="AD28" s="29">
        <v>160</v>
      </c>
      <c r="AE28" s="30">
        <v>158.01</v>
      </c>
      <c r="AF28" s="30">
        <v>676.36</v>
      </c>
      <c r="AG28" s="30">
        <v>670.83</v>
      </c>
      <c r="AH28" s="30">
        <v>959.06</v>
      </c>
      <c r="AI28" s="30">
        <v>397.85</v>
      </c>
      <c r="AJ28" s="30">
        <v>440.66</v>
      </c>
      <c r="AK28" s="30">
        <v>558.25</v>
      </c>
      <c r="AL28" s="30">
        <v>586.45000000000005</v>
      </c>
      <c r="AM28" s="30">
        <v>420</v>
      </c>
      <c r="AN28" s="30">
        <v>712.62</v>
      </c>
      <c r="AO28" s="31">
        <v>471.7</v>
      </c>
      <c r="AP28" s="29" t="s">
        <v>56</v>
      </c>
      <c r="AQ28" s="30">
        <v>463.86</v>
      </c>
      <c r="AR28" s="27">
        <v>423</v>
      </c>
      <c r="AS28" s="27">
        <v>561</v>
      </c>
      <c r="AT28" s="27">
        <v>334</v>
      </c>
      <c r="AU28" s="27">
        <v>438</v>
      </c>
      <c r="AV28" s="27">
        <v>381</v>
      </c>
      <c r="AW28" s="27">
        <v>258</v>
      </c>
      <c r="AX28" s="27">
        <v>312</v>
      </c>
    </row>
    <row r="29" spans="1:50" ht="15.75" customHeight="1" x14ac:dyDescent="0.3">
      <c r="A29" s="11" t="s">
        <v>25</v>
      </c>
      <c r="B29" s="11">
        <f t="shared" si="1"/>
        <v>27</v>
      </c>
      <c r="C29" s="29">
        <v>357.1</v>
      </c>
      <c r="D29" s="29">
        <v>516</v>
      </c>
      <c r="E29" s="29">
        <v>245.06</v>
      </c>
      <c r="F29" s="29">
        <v>31.9</v>
      </c>
      <c r="G29" s="29">
        <v>129.91999999999999</v>
      </c>
      <c r="H29" s="29">
        <v>128</v>
      </c>
      <c r="I29" s="29">
        <v>89</v>
      </c>
      <c r="J29" s="29">
        <v>142.63999999999999</v>
      </c>
      <c r="K29" s="29">
        <v>256.5</v>
      </c>
      <c r="L29" s="29">
        <v>215.4</v>
      </c>
      <c r="M29" s="29">
        <v>281.08</v>
      </c>
      <c r="N29" s="29">
        <v>315</v>
      </c>
      <c r="O29" s="29">
        <v>567</v>
      </c>
      <c r="P29" s="29">
        <v>491.88</v>
      </c>
      <c r="Q29" s="29">
        <v>363</v>
      </c>
      <c r="R29" s="29">
        <v>479</v>
      </c>
      <c r="S29" s="29">
        <v>234</v>
      </c>
      <c r="T29" s="29">
        <v>209</v>
      </c>
      <c r="U29" s="29">
        <v>223</v>
      </c>
      <c r="V29" s="29">
        <v>218.53</v>
      </c>
      <c r="W29" s="29">
        <v>179.78</v>
      </c>
      <c r="X29" s="29">
        <v>270</v>
      </c>
      <c r="Y29" s="29">
        <v>171.7</v>
      </c>
      <c r="Z29" s="29">
        <v>265</v>
      </c>
      <c r="AA29" s="29">
        <v>90</v>
      </c>
      <c r="AB29" s="29">
        <v>156</v>
      </c>
      <c r="AC29" s="26">
        <v>0</v>
      </c>
      <c r="AD29" s="29">
        <v>64</v>
      </c>
      <c r="AE29" s="30">
        <v>272.8</v>
      </c>
      <c r="AF29" s="30">
        <v>688.17</v>
      </c>
      <c r="AG29" s="30">
        <v>686.79</v>
      </c>
      <c r="AH29" s="30">
        <v>957.08</v>
      </c>
      <c r="AI29" s="30">
        <v>468.5</v>
      </c>
      <c r="AJ29" s="30">
        <v>530.29</v>
      </c>
      <c r="AK29" s="30">
        <v>441.61</v>
      </c>
      <c r="AL29" s="30">
        <v>469.37</v>
      </c>
      <c r="AM29" s="30">
        <v>308.38</v>
      </c>
      <c r="AN29" s="30">
        <v>587.86</v>
      </c>
      <c r="AO29" s="31">
        <v>570.53</v>
      </c>
      <c r="AP29" s="29" t="s">
        <v>57</v>
      </c>
      <c r="AQ29" s="30">
        <v>347.67</v>
      </c>
      <c r="AR29" s="27">
        <v>492</v>
      </c>
      <c r="AS29" s="27">
        <v>622</v>
      </c>
      <c r="AT29" s="27">
        <v>384</v>
      </c>
      <c r="AU29" s="27">
        <v>468</v>
      </c>
      <c r="AV29" s="27">
        <v>445</v>
      </c>
      <c r="AW29" s="27">
        <v>348</v>
      </c>
      <c r="AX29" s="27">
        <v>310</v>
      </c>
    </row>
    <row r="30" spans="1:50" ht="15.75" customHeight="1" x14ac:dyDescent="0.3">
      <c r="A30" s="11" t="s">
        <v>26</v>
      </c>
      <c r="B30" s="11">
        <f t="shared" si="1"/>
        <v>28</v>
      </c>
      <c r="C30" s="29">
        <v>371.1</v>
      </c>
      <c r="D30" s="28">
        <v>546</v>
      </c>
      <c r="E30" s="29">
        <v>260.66000000000003</v>
      </c>
      <c r="F30" s="29">
        <v>94.58</v>
      </c>
      <c r="G30" s="29">
        <v>196.8</v>
      </c>
      <c r="H30" s="29">
        <v>192</v>
      </c>
      <c r="I30" s="28">
        <v>121</v>
      </c>
      <c r="J30" s="28">
        <v>188</v>
      </c>
      <c r="K30" s="29">
        <v>304.60000000000002</v>
      </c>
      <c r="L30" s="29">
        <v>244.37</v>
      </c>
      <c r="M30" s="29">
        <v>338</v>
      </c>
      <c r="N30" s="29">
        <v>324.31</v>
      </c>
      <c r="O30" s="29">
        <v>556.23</v>
      </c>
      <c r="P30" s="29">
        <v>476.6</v>
      </c>
      <c r="Q30" s="29">
        <v>341.97</v>
      </c>
      <c r="R30" s="29">
        <v>453</v>
      </c>
      <c r="S30" s="29">
        <v>296</v>
      </c>
      <c r="T30" s="29">
        <v>274</v>
      </c>
      <c r="U30" s="29">
        <v>160.77000000000001</v>
      </c>
      <c r="V30" s="29">
        <v>164</v>
      </c>
      <c r="W30" s="29">
        <v>109.97</v>
      </c>
      <c r="X30" s="29">
        <v>215</v>
      </c>
      <c r="Y30" s="29">
        <v>175.7</v>
      </c>
      <c r="Z30" s="29">
        <v>202</v>
      </c>
      <c r="AA30" s="29">
        <v>62</v>
      </c>
      <c r="AB30" s="29">
        <v>160</v>
      </c>
      <c r="AC30" s="29">
        <v>64</v>
      </c>
      <c r="AD30" s="26">
        <v>0</v>
      </c>
      <c r="AE30" s="30">
        <v>239.95</v>
      </c>
      <c r="AF30" s="30">
        <v>659.46</v>
      </c>
      <c r="AG30" s="30">
        <v>656.55</v>
      </c>
      <c r="AH30" s="30">
        <v>935</v>
      </c>
      <c r="AI30" s="30">
        <v>421.23</v>
      </c>
      <c r="AJ30" s="30">
        <v>479.96</v>
      </c>
      <c r="AK30" s="30">
        <v>487.84</v>
      </c>
      <c r="AL30" s="30">
        <v>518.77</v>
      </c>
      <c r="AM30" s="30">
        <v>359.18</v>
      </c>
      <c r="AN30" s="30">
        <v>636.4</v>
      </c>
      <c r="AO30" s="31">
        <v>544.53</v>
      </c>
      <c r="AP30" s="29" t="s">
        <v>58</v>
      </c>
      <c r="AQ30" s="30">
        <v>399.17</v>
      </c>
      <c r="AR30" s="27">
        <v>436</v>
      </c>
      <c r="AS30" s="27">
        <v>562</v>
      </c>
      <c r="AT30" s="27">
        <v>437</v>
      </c>
      <c r="AU30" s="27">
        <v>524</v>
      </c>
      <c r="AV30" s="27">
        <v>496</v>
      </c>
      <c r="AW30" s="27">
        <v>388</v>
      </c>
      <c r="AX30" s="27">
        <v>246</v>
      </c>
    </row>
    <row r="31" spans="1:50" ht="15.75" customHeight="1" x14ac:dyDescent="0.3">
      <c r="A31" s="11" t="s">
        <v>27</v>
      </c>
      <c r="B31" s="11">
        <f t="shared" si="1"/>
        <v>29</v>
      </c>
      <c r="C31" s="30">
        <v>362</v>
      </c>
      <c r="D31" s="30">
        <v>526.66999999999996</v>
      </c>
      <c r="E31" s="30">
        <v>241.99</v>
      </c>
      <c r="F31" s="30">
        <v>51.88</v>
      </c>
      <c r="G31" s="30">
        <v>150.47</v>
      </c>
      <c r="H31" s="30">
        <v>149.54</v>
      </c>
      <c r="I31" s="30">
        <v>84.8</v>
      </c>
      <c r="J31" s="30">
        <v>158.01</v>
      </c>
      <c r="K31" s="30">
        <v>272.8</v>
      </c>
      <c r="L31" s="30">
        <v>239.95</v>
      </c>
      <c r="M31" s="30">
        <v>362.84</v>
      </c>
      <c r="N31" s="30">
        <v>526.66999999999996</v>
      </c>
      <c r="O31" s="30">
        <v>241.99</v>
      </c>
      <c r="P31" s="30">
        <v>51.88</v>
      </c>
      <c r="Q31" s="30">
        <v>150.47</v>
      </c>
      <c r="R31" s="30">
        <v>149.54</v>
      </c>
      <c r="S31" s="30">
        <v>84.8</v>
      </c>
      <c r="T31" s="30">
        <v>158.01</v>
      </c>
      <c r="U31" s="30">
        <v>272.8</v>
      </c>
      <c r="V31" s="30">
        <v>239.95</v>
      </c>
      <c r="W31" s="30">
        <v>241.99</v>
      </c>
      <c r="X31" s="30">
        <v>51.88</v>
      </c>
      <c r="Y31" s="30">
        <v>150.47</v>
      </c>
      <c r="Z31" s="30">
        <v>149.54</v>
      </c>
      <c r="AA31" s="30">
        <v>84.8</v>
      </c>
      <c r="AB31" s="30">
        <v>158.01</v>
      </c>
      <c r="AC31" s="30">
        <v>272.8</v>
      </c>
      <c r="AD31" s="30">
        <v>239.95</v>
      </c>
      <c r="AE31" s="26">
        <v>0</v>
      </c>
      <c r="AF31" s="32">
        <v>726.51</v>
      </c>
      <c r="AG31" s="32">
        <v>715.3</v>
      </c>
      <c r="AH31" s="32">
        <v>1018.14</v>
      </c>
      <c r="AI31" s="32">
        <v>381.15</v>
      </c>
      <c r="AJ31" s="32">
        <v>381.28</v>
      </c>
      <c r="AK31" s="32">
        <v>713.24</v>
      </c>
      <c r="AL31" s="32">
        <v>738.03</v>
      </c>
      <c r="AM31" s="32">
        <v>560</v>
      </c>
      <c r="AN31" s="32">
        <v>855.49</v>
      </c>
      <c r="AO31" s="31">
        <v>566.53</v>
      </c>
      <c r="AP31" s="32">
        <v>744.52</v>
      </c>
      <c r="AQ31" s="32">
        <v>616.48</v>
      </c>
      <c r="AR31" s="27">
        <v>466</v>
      </c>
      <c r="AS31" s="27">
        <v>595</v>
      </c>
      <c r="AT31" s="27">
        <v>401</v>
      </c>
      <c r="AU31" s="27">
        <v>487</v>
      </c>
      <c r="AV31" s="27">
        <v>460</v>
      </c>
      <c r="AW31" s="27">
        <v>358</v>
      </c>
      <c r="AX31" s="27">
        <v>283</v>
      </c>
    </row>
    <row r="32" spans="1:50" ht="15.75" customHeight="1" x14ac:dyDescent="0.3">
      <c r="A32" s="11" t="s">
        <v>28</v>
      </c>
      <c r="B32" s="11">
        <f t="shared" si="1"/>
        <v>30</v>
      </c>
      <c r="C32" s="30">
        <v>476.72</v>
      </c>
      <c r="D32" s="30">
        <v>569.59</v>
      </c>
      <c r="E32" s="30">
        <v>539.74</v>
      </c>
      <c r="F32" s="30">
        <v>739.05</v>
      </c>
      <c r="G32" s="30">
        <v>746.02</v>
      </c>
      <c r="H32" s="30">
        <v>803.68</v>
      </c>
      <c r="I32" s="30">
        <v>710.72</v>
      </c>
      <c r="J32" s="30">
        <v>676.36</v>
      </c>
      <c r="K32" s="30">
        <v>688.17</v>
      </c>
      <c r="L32" s="30">
        <v>659.46</v>
      </c>
      <c r="M32" s="30">
        <v>476.72</v>
      </c>
      <c r="N32" s="30">
        <v>569.59</v>
      </c>
      <c r="O32" s="30">
        <v>539.74</v>
      </c>
      <c r="P32" s="30">
        <v>739.05</v>
      </c>
      <c r="Q32" s="30">
        <v>746.02</v>
      </c>
      <c r="R32" s="30">
        <v>803.68</v>
      </c>
      <c r="S32" s="30">
        <v>710.72</v>
      </c>
      <c r="T32" s="30">
        <v>676.36</v>
      </c>
      <c r="U32" s="30">
        <v>688.17</v>
      </c>
      <c r="V32" s="30">
        <v>659.46</v>
      </c>
      <c r="W32" s="30">
        <v>539.74</v>
      </c>
      <c r="X32" s="30">
        <v>739.05</v>
      </c>
      <c r="Y32" s="30">
        <v>746.02</v>
      </c>
      <c r="Z32" s="30">
        <v>803.68</v>
      </c>
      <c r="AA32" s="30">
        <v>710.72</v>
      </c>
      <c r="AB32" s="30">
        <v>676.36</v>
      </c>
      <c r="AC32" s="30">
        <v>688.17</v>
      </c>
      <c r="AD32" s="30">
        <v>659.46</v>
      </c>
      <c r="AE32" s="32">
        <v>726.51</v>
      </c>
      <c r="AF32" s="26">
        <v>0</v>
      </c>
      <c r="AG32" s="32">
        <v>24.97</v>
      </c>
      <c r="AH32" s="32">
        <v>292.47000000000003</v>
      </c>
      <c r="AI32" s="32">
        <v>386.62</v>
      </c>
      <c r="AJ32" s="32">
        <v>474.74</v>
      </c>
      <c r="AK32" s="32">
        <v>871.85</v>
      </c>
      <c r="AL32" s="32">
        <v>959.22</v>
      </c>
      <c r="AM32" s="32">
        <v>874.3</v>
      </c>
      <c r="AN32" s="32">
        <v>1024.98</v>
      </c>
      <c r="AO32" s="31">
        <v>198</v>
      </c>
      <c r="AP32" s="32">
        <v>830.1</v>
      </c>
      <c r="AQ32" s="32">
        <v>850.99</v>
      </c>
      <c r="AR32" s="27">
        <v>461</v>
      </c>
      <c r="AS32" s="27">
        <v>514</v>
      </c>
      <c r="AT32" s="27">
        <v>745</v>
      </c>
      <c r="AU32" s="27">
        <v>833</v>
      </c>
      <c r="AV32" s="27">
        <v>739</v>
      </c>
      <c r="AW32" s="27">
        <v>639</v>
      </c>
      <c r="AX32" s="27">
        <v>745</v>
      </c>
    </row>
    <row r="33" spans="1:50" ht="15.75" customHeight="1" x14ac:dyDescent="0.3">
      <c r="A33" s="11" t="s">
        <v>29</v>
      </c>
      <c r="B33" s="11">
        <f t="shared" si="1"/>
        <v>31</v>
      </c>
      <c r="C33" s="30">
        <v>477.51</v>
      </c>
      <c r="D33" s="30">
        <v>578.38</v>
      </c>
      <c r="E33" s="30">
        <v>535.07000000000005</v>
      </c>
      <c r="F33" s="30">
        <v>730.12</v>
      </c>
      <c r="G33" s="30">
        <v>740.33</v>
      </c>
      <c r="H33" s="30">
        <v>797.05</v>
      </c>
      <c r="I33" s="30">
        <v>702.71</v>
      </c>
      <c r="J33" s="30">
        <v>670.83</v>
      </c>
      <c r="K33" s="30">
        <v>686.79</v>
      </c>
      <c r="L33" s="30">
        <v>656.55</v>
      </c>
      <c r="M33" s="30">
        <v>477.51</v>
      </c>
      <c r="N33" s="30">
        <v>578.38</v>
      </c>
      <c r="O33" s="30">
        <v>535.07000000000005</v>
      </c>
      <c r="P33" s="30">
        <v>730.12</v>
      </c>
      <c r="Q33" s="30">
        <v>740.33</v>
      </c>
      <c r="R33" s="30">
        <v>797.05</v>
      </c>
      <c r="S33" s="30">
        <v>702.71</v>
      </c>
      <c r="T33" s="30">
        <v>670.83</v>
      </c>
      <c r="U33" s="30">
        <v>686.79</v>
      </c>
      <c r="V33" s="30">
        <v>656.55</v>
      </c>
      <c r="W33" s="30">
        <v>535.07000000000005</v>
      </c>
      <c r="X33" s="30">
        <v>730.12</v>
      </c>
      <c r="Y33" s="30">
        <v>740.33</v>
      </c>
      <c r="Z33" s="30">
        <v>797.05</v>
      </c>
      <c r="AA33" s="30">
        <v>702.71</v>
      </c>
      <c r="AB33" s="30">
        <v>670.83</v>
      </c>
      <c r="AC33" s="30">
        <v>686.79</v>
      </c>
      <c r="AD33" s="30">
        <v>656.55</v>
      </c>
      <c r="AE33" s="32">
        <v>715.3</v>
      </c>
      <c r="AF33" s="32">
        <v>24.97</v>
      </c>
      <c r="AG33" s="26">
        <v>0</v>
      </c>
      <c r="AH33" s="32">
        <v>306.31</v>
      </c>
      <c r="AI33" s="32">
        <v>369.11</v>
      </c>
      <c r="AJ33" s="32">
        <v>454.63</v>
      </c>
      <c r="AK33" s="32">
        <v>883.28</v>
      </c>
      <c r="AL33" s="32">
        <v>969.59</v>
      </c>
      <c r="AM33" s="32">
        <v>879.9</v>
      </c>
      <c r="AN33" s="32">
        <v>1037.68</v>
      </c>
      <c r="AO33" s="31">
        <v>200.58</v>
      </c>
      <c r="AP33" s="32">
        <v>843.04</v>
      </c>
      <c r="AQ33" s="32">
        <v>859.43</v>
      </c>
      <c r="AR33" s="27">
        <v>430</v>
      </c>
      <c r="AS33" s="27">
        <v>484</v>
      </c>
      <c r="AT33" s="27">
        <v>716</v>
      </c>
      <c r="AU33" s="27">
        <v>804</v>
      </c>
      <c r="AV33" s="27">
        <v>710</v>
      </c>
      <c r="AW33" s="27">
        <v>629</v>
      </c>
      <c r="AX33" s="27">
        <v>716</v>
      </c>
    </row>
    <row r="34" spans="1:50" ht="15.75" customHeight="1" x14ac:dyDescent="0.3">
      <c r="A34" s="11" t="s">
        <v>30</v>
      </c>
      <c r="B34" s="11">
        <f t="shared" si="1"/>
        <v>32</v>
      </c>
      <c r="C34" s="30">
        <v>742.45</v>
      </c>
      <c r="D34" s="30">
        <v>785.18</v>
      </c>
      <c r="E34" s="30">
        <v>820.96</v>
      </c>
      <c r="F34" s="30">
        <v>1028.82</v>
      </c>
      <c r="G34" s="30">
        <v>1028.93</v>
      </c>
      <c r="H34" s="30">
        <v>1088.74</v>
      </c>
      <c r="I34" s="30">
        <v>998.49</v>
      </c>
      <c r="J34" s="30">
        <v>959.06</v>
      </c>
      <c r="K34" s="30">
        <v>957.08</v>
      </c>
      <c r="L34" s="30">
        <v>935</v>
      </c>
      <c r="M34" s="30">
        <v>742.45</v>
      </c>
      <c r="N34" s="30">
        <v>785.18</v>
      </c>
      <c r="O34" s="30">
        <v>820.96</v>
      </c>
      <c r="P34" s="30">
        <v>1028.82</v>
      </c>
      <c r="Q34" s="30">
        <v>1028.93</v>
      </c>
      <c r="R34" s="30">
        <v>1088.74</v>
      </c>
      <c r="S34" s="30">
        <v>998.49</v>
      </c>
      <c r="T34" s="30">
        <v>959.06</v>
      </c>
      <c r="U34" s="30">
        <v>957.08</v>
      </c>
      <c r="V34" s="30">
        <v>935</v>
      </c>
      <c r="W34" s="30">
        <v>820.96</v>
      </c>
      <c r="X34" s="30">
        <v>1028.82</v>
      </c>
      <c r="Y34" s="30">
        <v>1028.93</v>
      </c>
      <c r="Z34" s="30">
        <v>1088.74</v>
      </c>
      <c r="AA34" s="30">
        <v>998.49</v>
      </c>
      <c r="AB34" s="30">
        <v>959.06</v>
      </c>
      <c r="AC34" s="30">
        <v>957.08</v>
      </c>
      <c r="AD34" s="30">
        <v>935</v>
      </c>
      <c r="AE34" s="32">
        <v>1018.14</v>
      </c>
      <c r="AF34" s="32">
        <v>292.47000000000003</v>
      </c>
      <c r="AG34" s="32">
        <v>306.31</v>
      </c>
      <c r="AH34" s="26">
        <v>0</v>
      </c>
      <c r="AI34" s="32">
        <v>674.52</v>
      </c>
      <c r="AJ34" s="32">
        <v>752.96</v>
      </c>
      <c r="AK34" s="32">
        <v>1057.6199999999999</v>
      </c>
      <c r="AL34" s="32">
        <v>1151.1600000000001</v>
      </c>
      <c r="AM34" s="32">
        <v>1098.3900000000001</v>
      </c>
      <c r="AN34" s="32">
        <v>1194.82</v>
      </c>
      <c r="AO34" s="31">
        <v>472.7</v>
      </c>
      <c r="AP34" s="32">
        <v>1000.29</v>
      </c>
      <c r="AQ34" s="32">
        <v>1060.45</v>
      </c>
      <c r="AR34" s="27">
        <v>721</v>
      </c>
      <c r="AS34" s="27">
        <v>737</v>
      </c>
      <c r="AT34" s="27">
        <v>993</v>
      </c>
      <c r="AU34" s="27">
        <v>1070</v>
      </c>
      <c r="AV34" s="27">
        <v>974</v>
      </c>
      <c r="AW34" s="27">
        <v>893</v>
      </c>
      <c r="AX34" s="27">
        <v>915</v>
      </c>
    </row>
    <row r="35" spans="1:50" ht="15.75" customHeight="1" x14ac:dyDescent="0.3">
      <c r="A35" s="11" t="s">
        <v>31</v>
      </c>
      <c r="B35" s="11">
        <f t="shared" si="1"/>
        <v>33</v>
      </c>
      <c r="C35" s="30">
        <v>337.61</v>
      </c>
      <c r="D35" s="30">
        <v>534.44000000000005</v>
      </c>
      <c r="E35" s="30">
        <v>300.11</v>
      </c>
      <c r="F35" s="30">
        <v>410.19</v>
      </c>
      <c r="G35" s="30">
        <v>456.27</v>
      </c>
      <c r="H35" s="30">
        <v>498.22</v>
      </c>
      <c r="I35" s="30">
        <v>397.28</v>
      </c>
      <c r="J35" s="30">
        <v>397.85</v>
      </c>
      <c r="K35" s="30">
        <v>468.5</v>
      </c>
      <c r="L35" s="30">
        <v>421.23</v>
      </c>
      <c r="M35" s="30">
        <v>337.61</v>
      </c>
      <c r="N35" s="30">
        <v>534.44000000000005</v>
      </c>
      <c r="O35" s="30">
        <v>300.11</v>
      </c>
      <c r="P35" s="30">
        <v>410.19</v>
      </c>
      <c r="Q35" s="30">
        <v>456.27</v>
      </c>
      <c r="R35" s="30">
        <v>498.22</v>
      </c>
      <c r="S35" s="30">
        <v>397.28</v>
      </c>
      <c r="T35" s="30">
        <v>397.85</v>
      </c>
      <c r="U35" s="30">
        <v>468.5</v>
      </c>
      <c r="V35" s="30">
        <v>421.23</v>
      </c>
      <c r="W35" s="30">
        <v>300.11</v>
      </c>
      <c r="X35" s="30">
        <v>410.19</v>
      </c>
      <c r="Y35" s="30">
        <v>456.27</v>
      </c>
      <c r="Z35" s="30">
        <v>498.22</v>
      </c>
      <c r="AA35" s="30">
        <v>397.28</v>
      </c>
      <c r="AB35" s="30">
        <v>397.85</v>
      </c>
      <c r="AC35" s="30">
        <v>468.5</v>
      </c>
      <c r="AD35" s="30">
        <v>421.23</v>
      </c>
      <c r="AE35" s="32">
        <v>381.15</v>
      </c>
      <c r="AF35" s="32">
        <v>386.62</v>
      </c>
      <c r="AG35" s="32">
        <v>369.11</v>
      </c>
      <c r="AH35" s="32">
        <v>674.52</v>
      </c>
      <c r="AI35" s="26">
        <v>0</v>
      </c>
      <c r="AJ35" s="32">
        <v>113.17</v>
      </c>
      <c r="AK35" s="32">
        <v>829.08</v>
      </c>
      <c r="AL35" s="32">
        <v>890.24</v>
      </c>
      <c r="AM35" s="32">
        <v>751.27</v>
      </c>
      <c r="AN35" s="32">
        <v>991.53</v>
      </c>
      <c r="AO35" s="31">
        <v>285.29000000000002</v>
      </c>
      <c r="AP35" s="32">
        <v>822.78</v>
      </c>
      <c r="AQ35" s="32">
        <v>764.03</v>
      </c>
      <c r="AR35" s="27">
        <v>172</v>
      </c>
      <c r="AS35" s="27">
        <v>306</v>
      </c>
      <c r="AT35" s="27">
        <v>580</v>
      </c>
      <c r="AU35" s="27">
        <v>683</v>
      </c>
      <c r="AV35" s="27">
        <v>609</v>
      </c>
      <c r="AW35" s="27">
        <v>480</v>
      </c>
      <c r="AX35" s="27">
        <v>249</v>
      </c>
    </row>
    <row r="36" spans="1:50" ht="15.75" customHeight="1" x14ac:dyDescent="0.3">
      <c r="A36" s="11" t="s">
        <v>59</v>
      </c>
      <c r="B36" s="11">
        <f t="shared" si="1"/>
        <v>34</v>
      </c>
      <c r="C36" s="30">
        <v>432.38</v>
      </c>
      <c r="D36" s="30">
        <v>634.29</v>
      </c>
      <c r="E36" s="30">
        <v>371.31</v>
      </c>
      <c r="F36" s="30">
        <v>421.35</v>
      </c>
      <c r="G36" s="30">
        <v>487.95</v>
      </c>
      <c r="H36" s="30">
        <v>518.24</v>
      </c>
      <c r="I36" s="30">
        <v>420.25</v>
      </c>
      <c r="J36" s="30">
        <v>440.66</v>
      </c>
      <c r="K36" s="30">
        <v>530.29</v>
      </c>
      <c r="L36" s="30">
        <v>479.96</v>
      </c>
      <c r="M36" s="30">
        <v>432.38</v>
      </c>
      <c r="N36" s="30">
        <v>634.29</v>
      </c>
      <c r="O36" s="30">
        <v>371.31</v>
      </c>
      <c r="P36" s="30">
        <v>421.35</v>
      </c>
      <c r="Q36" s="30">
        <v>487.95</v>
      </c>
      <c r="R36" s="30">
        <v>518.24</v>
      </c>
      <c r="S36" s="30">
        <v>420.25</v>
      </c>
      <c r="T36" s="30">
        <v>440.66</v>
      </c>
      <c r="U36" s="30">
        <v>530.29</v>
      </c>
      <c r="V36" s="30">
        <v>479.96</v>
      </c>
      <c r="W36" s="30">
        <v>371.31</v>
      </c>
      <c r="X36" s="30">
        <v>421.35</v>
      </c>
      <c r="Y36" s="30">
        <v>487.95</v>
      </c>
      <c r="Z36" s="30">
        <v>518.24</v>
      </c>
      <c r="AA36" s="30">
        <v>420.25</v>
      </c>
      <c r="AB36" s="30">
        <v>440.66</v>
      </c>
      <c r="AC36" s="30">
        <v>530.29</v>
      </c>
      <c r="AD36" s="30">
        <v>479.96</v>
      </c>
      <c r="AE36" s="32">
        <v>381.28</v>
      </c>
      <c r="AF36" s="32">
        <v>474.74</v>
      </c>
      <c r="AG36" s="32">
        <v>454.63</v>
      </c>
      <c r="AH36" s="32">
        <v>752.96</v>
      </c>
      <c r="AI36" s="32">
        <v>113.17</v>
      </c>
      <c r="AJ36" s="26">
        <v>0</v>
      </c>
      <c r="AK36" s="32">
        <v>919.77</v>
      </c>
      <c r="AL36" s="32">
        <v>975.75</v>
      </c>
      <c r="AM36" s="32">
        <v>829.19</v>
      </c>
      <c r="AN36" s="32">
        <v>1080.78</v>
      </c>
      <c r="AO36" s="31">
        <v>395.95</v>
      </c>
      <c r="AP36" s="32">
        <v>919.25</v>
      </c>
      <c r="AQ36" s="32">
        <v>847.71</v>
      </c>
      <c r="AR36" s="27">
        <v>248</v>
      </c>
      <c r="AS36" s="27">
        <v>358</v>
      </c>
      <c r="AT36" s="27">
        <v>611</v>
      </c>
      <c r="AU36" s="27">
        <v>708</v>
      </c>
      <c r="AV36" s="27">
        <v>661</v>
      </c>
      <c r="AW36" s="27">
        <v>538</v>
      </c>
      <c r="AX36" s="27">
        <v>168</v>
      </c>
    </row>
    <row r="37" spans="1:50" ht="15.75" customHeight="1" x14ac:dyDescent="0.3">
      <c r="A37" s="11" t="s">
        <v>33</v>
      </c>
      <c r="B37" s="11">
        <f t="shared" si="1"/>
        <v>35</v>
      </c>
      <c r="C37" s="30">
        <v>491.65</v>
      </c>
      <c r="D37" s="30">
        <v>311.86</v>
      </c>
      <c r="E37" s="30">
        <v>556.38</v>
      </c>
      <c r="F37" s="30">
        <v>667.36</v>
      </c>
      <c r="G37" s="30">
        <v>571.08000000000004</v>
      </c>
      <c r="H37" s="30">
        <v>609.39</v>
      </c>
      <c r="I37" s="30">
        <v>628.42999999999995</v>
      </c>
      <c r="J37" s="30">
        <v>558.25</v>
      </c>
      <c r="K37" s="30">
        <v>441.61</v>
      </c>
      <c r="L37" s="30">
        <v>487.84</v>
      </c>
      <c r="M37" s="30">
        <v>491.65</v>
      </c>
      <c r="N37" s="30">
        <v>311.86</v>
      </c>
      <c r="O37" s="30">
        <v>556.38</v>
      </c>
      <c r="P37" s="30">
        <v>667.36</v>
      </c>
      <c r="Q37" s="30">
        <v>571.08000000000004</v>
      </c>
      <c r="R37" s="30">
        <v>609.39</v>
      </c>
      <c r="S37" s="30">
        <v>628.42999999999995</v>
      </c>
      <c r="T37" s="30">
        <v>558.25</v>
      </c>
      <c r="U37" s="30">
        <v>441.61</v>
      </c>
      <c r="V37" s="30">
        <v>487.84</v>
      </c>
      <c r="W37" s="30">
        <v>556.38</v>
      </c>
      <c r="X37" s="30">
        <v>667.36</v>
      </c>
      <c r="Y37" s="30">
        <v>571.08000000000004</v>
      </c>
      <c r="Z37" s="30">
        <v>609.39</v>
      </c>
      <c r="AA37" s="30">
        <v>628.42999999999995</v>
      </c>
      <c r="AB37" s="30">
        <v>558.25</v>
      </c>
      <c r="AC37" s="30">
        <v>441.61</v>
      </c>
      <c r="AD37" s="30">
        <v>487.84</v>
      </c>
      <c r="AE37" s="32">
        <v>713.24</v>
      </c>
      <c r="AF37" s="32">
        <v>871.85</v>
      </c>
      <c r="AG37" s="32">
        <v>883.28</v>
      </c>
      <c r="AH37" s="32">
        <v>1057.6199999999999</v>
      </c>
      <c r="AI37" s="32">
        <v>829.08</v>
      </c>
      <c r="AJ37" s="32">
        <v>919.77</v>
      </c>
      <c r="AK37" s="26">
        <v>0</v>
      </c>
      <c r="AL37" s="32">
        <v>95.17</v>
      </c>
      <c r="AM37" s="32">
        <v>179.49</v>
      </c>
      <c r="AN37" s="32">
        <v>162.96</v>
      </c>
      <c r="AO37" s="31">
        <v>697.32</v>
      </c>
      <c r="AP37" s="32">
        <v>80.28</v>
      </c>
      <c r="AQ37" s="32">
        <v>105.65</v>
      </c>
      <c r="AR37" s="27">
        <v>999</v>
      </c>
      <c r="AS37" s="27">
        <v>1135</v>
      </c>
      <c r="AT37" s="27">
        <v>311</v>
      </c>
      <c r="AU37" s="27">
        <v>246</v>
      </c>
      <c r="AV37" s="27">
        <v>250</v>
      </c>
      <c r="AW37" s="27">
        <v>368</v>
      </c>
      <c r="AX37" s="27">
        <v>939</v>
      </c>
    </row>
    <row r="38" spans="1:50" ht="15.75" customHeight="1" x14ac:dyDescent="0.3">
      <c r="A38" s="11" t="s">
        <v>34</v>
      </c>
      <c r="B38" s="11">
        <f t="shared" si="1"/>
        <v>36</v>
      </c>
      <c r="C38" s="30">
        <v>559.77</v>
      </c>
      <c r="D38" s="30">
        <v>390.2</v>
      </c>
      <c r="E38" s="30">
        <v>608.62</v>
      </c>
      <c r="F38" s="30">
        <v>689.18</v>
      </c>
      <c r="G38" s="30">
        <v>586.66999999999996</v>
      </c>
      <c r="H38" s="30">
        <v>611.78</v>
      </c>
      <c r="I38" s="30">
        <v>645.79</v>
      </c>
      <c r="J38" s="30">
        <v>586.45000000000005</v>
      </c>
      <c r="K38" s="30">
        <v>469.37</v>
      </c>
      <c r="L38" s="30">
        <v>518.77</v>
      </c>
      <c r="M38" s="30">
        <v>559.77</v>
      </c>
      <c r="N38" s="30">
        <v>390.2</v>
      </c>
      <c r="O38" s="30">
        <v>608.62</v>
      </c>
      <c r="P38" s="30">
        <v>689.18</v>
      </c>
      <c r="Q38" s="30">
        <v>586.66999999999996</v>
      </c>
      <c r="R38" s="30">
        <v>611.78</v>
      </c>
      <c r="S38" s="30">
        <v>645.79</v>
      </c>
      <c r="T38" s="30">
        <v>586.45000000000005</v>
      </c>
      <c r="U38" s="30">
        <v>469.37</v>
      </c>
      <c r="V38" s="30">
        <v>518.77</v>
      </c>
      <c r="W38" s="30">
        <v>608.62</v>
      </c>
      <c r="X38" s="30">
        <v>689.18</v>
      </c>
      <c r="Y38" s="30">
        <v>586.66999999999996</v>
      </c>
      <c r="Z38" s="30">
        <v>611.78</v>
      </c>
      <c r="AA38" s="30">
        <v>645.79</v>
      </c>
      <c r="AB38" s="30">
        <v>586.45000000000005</v>
      </c>
      <c r="AC38" s="30">
        <v>469.37</v>
      </c>
      <c r="AD38" s="30">
        <v>518.77</v>
      </c>
      <c r="AE38" s="32">
        <v>738.03</v>
      </c>
      <c r="AF38" s="32">
        <v>959.22</v>
      </c>
      <c r="AG38" s="32">
        <v>969.59</v>
      </c>
      <c r="AH38" s="32">
        <v>1151.1600000000001</v>
      </c>
      <c r="AI38" s="32">
        <v>890.24</v>
      </c>
      <c r="AJ38" s="32">
        <v>975.75</v>
      </c>
      <c r="AK38" s="32">
        <v>95.17</v>
      </c>
      <c r="AL38" s="26">
        <v>0</v>
      </c>
      <c r="AM38" s="32">
        <v>166.62</v>
      </c>
      <c r="AN38" s="32">
        <v>122.32</v>
      </c>
      <c r="AO38" s="31">
        <v>776</v>
      </c>
      <c r="AP38" s="32">
        <v>169.32</v>
      </c>
      <c r="AQ38" s="32">
        <v>122.59</v>
      </c>
      <c r="AR38" s="27">
        <v>1042</v>
      </c>
      <c r="AS38" s="27">
        <v>1178</v>
      </c>
      <c r="AT38" s="27">
        <v>339</v>
      </c>
      <c r="AU38" s="27">
        <v>264</v>
      </c>
      <c r="AV38" s="27">
        <v>283</v>
      </c>
      <c r="AW38" s="27">
        <v>406</v>
      </c>
      <c r="AX38" s="27">
        <v>976</v>
      </c>
    </row>
    <row r="39" spans="1:50" ht="15.75" customHeight="1" x14ac:dyDescent="0.3">
      <c r="A39" s="11" t="s">
        <v>35</v>
      </c>
      <c r="B39" s="11">
        <f t="shared" si="1"/>
        <v>37</v>
      </c>
      <c r="C39" s="30">
        <v>429</v>
      </c>
      <c r="D39" s="30">
        <v>313.26</v>
      </c>
      <c r="E39" s="30">
        <v>457.27</v>
      </c>
      <c r="F39" s="30">
        <v>518.27</v>
      </c>
      <c r="G39" s="30">
        <v>419.11</v>
      </c>
      <c r="H39" s="30">
        <v>449.28</v>
      </c>
      <c r="I39" s="30">
        <v>483.88</v>
      </c>
      <c r="J39" s="30">
        <v>420</v>
      </c>
      <c r="K39" s="30">
        <v>308.38</v>
      </c>
      <c r="L39" s="30">
        <v>359.18</v>
      </c>
      <c r="M39" s="30">
        <v>429</v>
      </c>
      <c r="N39" s="30">
        <v>313.26</v>
      </c>
      <c r="O39" s="30">
        <v>457.27</v>
      </c>
      <c r="P39" s="30">
        <v>518.27</v>
      </c>
      <c r="Q39" s="30">
        <v>419.11</v>
      </c>
      <c r="R39" s="30">
        <v>449.28</v>
      </c>
      <c r="S39" s="30">
        <v>483.88</v>
      </c>
      <c r="T39" s="30">
        <v>420</v>
      </c>
      <c r="U39" s="30">
        <v>308.38</v>
      </c>
      <c r="V39" s="30">
        <v>359.18</v>
      </c>
      <c r="W39" s="30">
        <v>457.27</v>
      </c>
      <c r="X39" s="30">
        <v>518.27</v>
      </c>
      <c r="Y39" s="30">
        <v>419.11</v>
      </c>
      <c r="Z39" s="30">
        <v>449.28</v>
      </c>
      <c r="AA39" s="30">
        <v>483.88</v>
      </c>
      <c r="AB39" s="30">
        <v>420</v>
      </c>
      <c r="AC39" s="30">
        <v>308.38</v>
      </c>
      <c r="AD39" s="30">
        <v>359.18</v>
      </c>
      <c r="AE39" s="32">
        <v>560</v>
      </c>
      <c r="AF39" s="32">
        <v>874.3</v>
      </c>
      <c r="AG39" s="32">
        <v>879.9</v>
      </c>
      <c r="AH39" s="32">
        <v>1098.3900000000001</v>
      </c>
      <c r="AI39" s="32">
        <v>751.27</v>
      </c>
      <c r="AJ39" s="32">
        <v>829.19</v>
      </c>
      <c r="AK39" s="32">
        <v>179.49</v>
      </c>
      <c r="AL39" s="32">
        <v>166.62</v>
      </c>
      <c r="AM39" s="26">
        <v>0</v>
      </c>
      <c r="AN39" s="32">
        <v>291.08</v>
      </c>
      <c r="AO39" s="31">
        <v>682</v>
      </c>
      <c r="AP39" s="32">
        <v>196.2</v>
      </c>
      <c r="AQ39" s="32">
        <v>240</v>
      </c>
      <c r="AR39" s="27">
        <v>916</v>
      </c>
      <c r="AS39" s="27">
        <v>1055</v>
      </c>
      <c r="AT39" s="27">
        <v>177</v>
      </c>
      <c r="AU39" s="27">
        <v>80</v>
      </c>
      <c r="AV39" s="27">
        <v>144</v>
      </c>
      <c r="AW39" s="27">
        <v>271</v>
      </c>
      <c r="AX39" s="27">
        <v>820</v>
      </c>
    </row>
    <row r="40" spans="1:50" ht="15.75" customHeight="1" x14ac:dyDescent="0.3">
      <c r="A40" s="11" t="s">
        <v>36</v>
      </c>
      <c r="B40" s="11">
        <f t="shared" si="1"/>
        <v>38</v>
      </c>
      <c r="C40" s="30">
        <v>654.46</v>
      </c>
      <c r="D40" s="30">
        <v>472.92</v>
      </c>
      <c r="E40" s="30">
        <v>714.33</v>
      </c>
      <c r="F40" s="30">
        <v>807.25</v>
      </c>
      <c r="G40" s="30">
        <v>708.34</v>
      </c>
      <c r="H40" s="30">
        <v>738.84</v>
      </c>
      <c r="I40" s="30">
        <v>771.14</v>
      </c>
      <c r="J40" s="30">
        <v>712.62</v>
      </c>
      <c r="K40" s="30">
        <v>587.86</v>
      </c>
      <c r="L40" s="30">
        <v>636.4</v>
      </c>
      <c r="M40" s="30">
        <v>654.46</v>
      </c>
      <c r="N40" s="30">
        <v>472.92</v>
      </c>
      <c r="O40" s="30">
        <v>714.33</v>
      </c>
      <c r="P40" s="30">
        <v>807.25</v>
      </c>
      <c r="Q40" s="30">
        <v>708.34</v>
      </c>
      <c r="R40" s="30">
        <v>738.84</v>
      </c>
      <c r="S40" s="30">
        <v>771.14</v>
      </c>
      <c r="T40" s="30">
        <v>712.62</v>
      </c>
      <c r="U40" s="30">
        <v>587.86</v>
      </c>
      <c r="V40" s="30">
        <v>636.4</v>
      </c>
      <c r="W40" s="30">
        <v>714.33</v>
      </c>
      <c r="X40" s="30">
        <v>807.25</v>
      </c>
      <c r="Y40" s="30">
        <v>708.34</v>
      </c>
      <c r="Z40" s="30">
        <v>738.84</v>
      </c>
      <c r="AA40" s="30">
        <v>771.14</v>
      </c>
      <c r="AB40" s="30">
        <v>712.62</v>
      </c>
      <c r="AC40" s="30">
        <v>587.86</v>
      </c>
      <c r="AD40" s="30">
        <v>636.4</v>
      </c>
      <c r="AE40" s="32">
        <v>855.49</v>
      </c>
      <c r="AF40" s="32">
        <v>1024.98</v>
      </c>
      <c r="AG40" s="32">
        <v>1037.68</v>
      </c>
      <c r="AH40" s="32">
        <v>1194.82</v>
      </c>
      <c r="AI40" s="32">
        <v>991.53</v>
      </c>
      <c r="AJ40" s="32">
        <v>1080.78</v>
      </c>
      <c r="AK40" s="32">
        <v>162.96</v>
      </c>
      <c r="AL40" s="32">
        <v>122.32</v>
      </c>
      <c r="AM40" s="32">
        <v>291.08</v>
      </c>
      <c r="AN40" s="26">
        <v>0</v>
      </c>
      <c r="AO40" s="33">
        <v>856</v>
      </c>
      <c r="AP40" s="32">
        <v>196.25</v>
      </c>
      <c r="AQ40" s="32">
        <v>240.53</v>
      </c>
      <c r="AR40" s="27">
        <v>922</v>
      </c>
      <c r="AS40" s="27">
        <v>950</v>
      </c>
      <c r="AT40" s="27">
        <v>1069</v>
      </c>
      <c r="AU40" s="27">
        <v>1131</v>
      </c>
      <c r="AV40" s="27">
        <v>1038</v>
      </c>
      <c r="AW40" s="27">
        <v>980</v>
      </c>
      <c r="AX40" s="27">
        <v>1100</v>
      </c>
    </row>
    <row r="41" spans="1:50" ht="15.75" customHeight="1" x14ac:dyDescent="0.3">
      <c r="A41" s="11" t="s">
        <v>37</v>
      </c>
      <c r="B41" s="11">
        <f t="shared" si="1"/>
        <v>39</v>
      </c>
      <c r="C41" s="30">
        <v>278.25</v>
      </c>
      <c r="D41" s="30">
        <v>386</v>
      </c>
      <c r="E41" s="30">
        <v>348.52</v>
      </c>
      <c r="F41" s="30">
        <v>561.79999999999995</v>
      </c>
      <c r="G41" s="30">
        <v>566.67999999999995</v>
      </c>
      <c r="H41" s="30">
        <v>616.61</v>
      </c>
      <c r="I41" s="30">
        <v>528.44000000000005</v>
      </c>
      <c r="J41" s="30">
        <v>486.35</v>
      </c>
      <c r="K41" s="30">
        <v>490.77</v>
      </c>
      <c r="L41" s="30">
        <v>463.57</v>
      </c>
      <c r="M41" s="30">
        <v>566.04999999999995</v>
      </c>
      <c r="N41" s="30">
        <v>404.1</v>
      </c>
      <c r="O41" s="30">
        <v>40.07</v>
      </c>
      <c r="P41" s="30">
        <v>70.959999999999994</v>
      </c>
      <c r="Q41" s="30">
        <v>154.1</v>
      </c>
      <c r="R41" s="30">
        <v>122.49</v>
      </c>
      <c r="S41" s="30">
        <v>589.30999999999995</v>
      </c>
      <c r="T41" s="30">
        <v>650.32000000000005</v>
      </c>
      <c r="U41" s="30">
        <v>594.69000000000005</v>
      </c>
      <c r="V41" s="30">
        <v>639.36</v>
      </c>
      <c r="W41" s="30">
        <v>567.19000000000005</v>
      </c>
      <c r="X41" s="30">
        <v>664.88</v>
      </c>
      <c r="Y41" s="30">
        <v>476.68</v>
      </c>
      <c r="Z41" s="30">
        <v>499.96</v>
      </c>
      <c r="AA41" s="30">
        <v>482.73</v>
      </c>
      <c r="AB41" s="30">
        <v>471.7</v>
      </c>
      <c r="AC41" s="30">
        <v>570.53</v>
      </c>
      <c r="AD41" s="30">
        <v>544.53</v>
      </c>
      <c r="AE41" s="30">
        <v>566.53</v>
      </c>
      <c r="AF41" s="30">
        <v>198</v>
      </c>
      <c r="AG41" s="30">
        <v>200.58</v>
      </c>
      <c r="AH41" s="30">
        <v>472.7</v>
      </c>
      <c r="AI41" s="30">
        <v>285.29000000000002</v>
      </c>
      <c r="AJ41" s="30">
        <v>395.95</v>
      </c>
      <c r="AK41" s="30">
        <v>697.32</v>
      </c>
      <c r="AL41" s="30">
        <v>776</v>
      </c>
      <c r="AM41" s="30">
        <v>682</v>
      </c>
      <c r="AN41" s="32">
        <v>856</v>
      </c>
      <c r="AO41" s="34">
        <v>0</v>
      </c>
      <c r="AP41" s="33">
        <v>665.27</v>
      </c>
      <c r="AQ41" s="33">
        <v>665.2</v>
      </c>
      <c r="AR41" s="35">
        <v>423</v>
      </c>
      <c r="AS41" s="35">
        <v>524</v>
      </c>
      <c r="AT41" s="35">
        <v>547</v>
      </c>
      <c r="AU41" s="35">
        <v>637</v>
      </c>
      <c r="AV41" s="35">
        <v>543</v>
      </c>
      <c r="AW41" s="35">
        <v>440</v>
      </c>
      <c r="AX41" s="36">
        <v>528</v>
      </c>
    </row>
    <row r="42" spans="1:50" ht="15.75" customHeight="1" x14ac:dyDescent="0.3">
      <c r="A42" s="11" t="s">
        <v>38</v>
      </c>
      <c r="B42" s="11">
        <f t="shared" si="1"/>
        <v>40</v>
      </c>
      <c r="C42" s="27">
        <v>485</v>
      </c>
      <c r="D42" s="27">
        <v>292</v>
      </c>
      <c r="E42" s="30">
        <v>348.52</v>
      </c>
      <c r="F42" s="30">
        <v>561.79999999999995</v>
      </c>
      <c r="G42" s="30">
        <v>566.67999999999995</v>
      </c>
      <c r="H42" s="30">
        <v>616.61</v>
      </c>
      <c r="I42" s="30">
        <v>528.44000000000005</v>
      </c>
      <c r="J42" s="30">
        <v>486.35</v>
      </c>
      <c r="K42" s="30">
        <v>490.77</v>
      </c>
      <c r="L42" s="30">
        <v>463.57</v>
      </c>
      <c r="M42" s="30">
        <v>566.04999999999995</v>
      </c>
      <c r="N42" s="30">
        <v>404.1</v>
      </c>
      <c r="O42" s="30">
        <v>40.07</v>
      </c>
      <c r="P42" s="30">
        <v>70.959999999999994</v>
      </c>
      <c r="Q42" s="30">
        <v>154.1</v>
      </c>
      <c r="R42" s="29" t="s">
        <v>60</v>
      </c>
      <c r="S42" s="29" t="s">
        <v>48</v>
      </c>
      <c r="T42" s="29">
        <v>600.21</v>
      </c>
      <c r="U42" s="29" t="s">
        <v>49</v>
      </c>
      <c r="V42" s="29" t="s">
        <v>50</v>
      </c>
      <c r="W42" s="29" t="s">
        <v>51</v>
      </c>
      <c r="X42" s="29" t="s">
        <v>52</v>
      </c>
      <c r="Y42" s="29" t="s">
        <v>53</v>
      </c>
      <c r="Z42" s="29" t="s">
        <v>54</v>
      </c>
      <c r="AA42" s="29" t="s">
        <v>55</v>
      </c>
      <c r="AB42" s="29" t="s">
        <v>56</v>
      </c>
      <c r="AC42" s="29" t="s">
        <v>57</v>
      </c>
      <c r="AD42" s="29" t="s">
        <v>58</v>
      </c>
      <c r="AE42" s="32">
        <v>744.52</v>
      </c>
      <c r="AF42" s="32">
        <v>830.1</v>
      </c>
      <c r="AG42" s="32">
        <v>843.04</v>
      </c>
      <c r="AH42" s="32">
        <v>1000.29</v>
      </c>
      <c r="AI42" s="32">
        <v>822.78</v>
      </c>
      <c r="AJ42" s="32">
        <v>919.25</v>
      </c>
      <c r="AK42" s="32">
        <v>80.28</v>
      </c>
      <c r="AL42" s="32">
        <v>169.32</v>
      </c>
      <c r="AM42" s="32">
        <v>196.2</v>
      </c>
      <c r="AN42" s="32">
        <v>196.25</v>
      </c>
      <c r="AO42" s="33">
        <v>665.27</v>
      </c>
      <c r="AP42" s="34">
        <v>0</v>
      </c>
      <c r="AQ42" s="37">
        <v>168.76</v>
      </c>
      <c r="AR42" s="38">
        <v>994.37</v>
      </c>
      <c r="AS42" s="38" t="s">
        <v>61</v>
      </c>
      <c r="AT42" s="38">
        <v>349.85</v>
      </c>
      <c r="AU42" s="38">
        <v>284.39</v>
      </c>
      <c r="AV42" s="38">
        <v>285.77</v>
      </c>
      <c r="AW42" s="38" t="s">
        <v>62</v>
      </c>
      <c r="AX42" s="38">
        <v>952.78</v>
      </c>
    </row>
    <row r="43" spans="1:50" ht="15.75" customHeight="1" x14ac:dyDescent="0.3">
      <c r="A43" s="11" t="s">
        <v>39</v>
      </c>
      <c r="B43" s="11">
        <f t="shared" si="1"/>
        <v>41</v>
      </c>
      <c r="C43" s="30">
        <v>431.09</v>
      </c>
      <c r="D43" s="30">
        <v>282</v>
      </c>
      <c r="E43" s="30">
        <v>477.83</v>
      </c>
      <c r="F43" s="30">
        <v>569.12</v>
      </c>
      <c r="G43" s="30">
        <v>471.25</v>
      </c>
      <c r="H43" s="30">
        <v>506.76</v>
      </c>
      <c r="I43" s="30">
        <v>531.82000000000005</v>
      </c>
      <c r="J43" s="30">
        <v>463.86</v>
      </c>
      <c r="K43" s="30">
        <v>347.67</v>
      </c>
      <c r="L43" s="30">
        <v>399.17</v>
      </c>
      <c r="M43" s="30">
        <v>431.09</v>
      </c>
      <c r="N43" s="30">
        <v>282</v>
      </c>
      <c r="O43" s="30">
        <v>477.83</v>
      </c>
      <c r="P43" s="30">
        <v>569.12</v>
      </c>
      <c r="Q43" s="30">
        <v>471.25</v>
      </c>
      <c r="R43" s="30">
        <v>506.76</v>
      </c>
      <c r="S43" s="30">
        <v>531.82000000000005</v>
      </c>
      <c r="T43" s="30">
        <v>463.86</v>
      </c>
      <c r="U43" s="30">
        <v>347.67</v>
      </c>
      <c r="V43" s="30">
        <v>399.17</v>
      </c>
      <c r="W43" s="30">
        <v>477.83</v>
      </c>
      <c r="X43" s="30">
        <v>569.12</v>
      </c>
      <c r="Y43" s="30">
        <v>471.25</v>
      </c>
      <c r="Z43" s="30">
        <v>506.76</v>
      </c>
      <c r="AA43" s="30">
        <v>531.82000000000005</v>
      </c>
      <c r="AB43" s="30">
        <v>463.86</v>
      </c>
      <c r="AC43" s="30">
        <v>347.67</v>
      </c>
      <c r="AD43" s="30">
        <v>399.17</v>
      </c>
      <c r="AE43" s="32">
        <v>616.48</v>
      </c>
      <c r="AF43" s="32">
        <v>850.99</v>
      </c>
      <c r="AG43" s="32">
        <v>859.43</v>
      </c>
      <c r="AH43" s="32">
        <v>1060.45</v>
      </c>
      <c r="AI43" s="32">
        <v>764.03</v>
      </c>
      <c r="AJ43" s="32">
        <v>847.71</v>
      </c>
      <c r="AK43" s="32">
        <v>105.65</v>
      </c>
      <c r="AL43" s="32">
        <v>122.59</v>
      </c>
      <c r="AM43" s="32">
        <v>240</v>
      </c>
      <c r="AN43" s="32">
        <v>240.53</v>
      </c>
      <c r="AO43" s="33">
        <v>665.2</v>
      </c>
      <c r="AP43" s="37">
        <v>168.76</v>
      </c>
      <c r="AQ43" s="34">
        <v>0</v>
      </c>
      <c r="AR43" s="38" t="s">
        <v>63</v>
      </c>
      <c r="AS43" s="38" t="s">
        <v>64</v>
      </c>
      <c r="AT43" s="38">
        <v>214.41</v>
      </c>
      <c r="AU43" s="38">
        <v>141.78</v>
      </c>
      <c r="AV43" s="38">
        <v>161.47999999999999</v>
      </c>
      <c r="AW43" s="38" t="s">
        <v>65</v>
      </c>
      <c r="AX43" s="38">
        <v>854.97</v>
      </c>
    </row>
    <row r="44" spans="1:50" ht="15.75" customHeight="1" x14ac:dyDescent="0.3">
      <c r="A44" s="11" t="s">
        <v>40</v>
      </c>
      <c r="B44" s="11">
        <f t="shared" si="1"/>
        <v>42</v>
      </c>
      <c r="C44" s="27">
        <v>509.46</v>
      </c>
      <c r="D44" s="27">
        <v>706</v>
      </c>
      <c r="E44" s="27">
        <v>471</v>
      </c>
      <c r="F44" s="27">
        <v>517</v>
      </c>
      <c r="G44" s="27">
        <v>583</v>
      </c>
      <c r="H44" s="27">
        <v>612</v>
      </c>
      <c r="I44" s="27">
        <v>512</v>
      </c>
      <c r="J44" s="27">
        <v>536</v>
      </c>
      <c r="K44" s="27">
        <v>623</v>
      </c>
      <c r="L44" s="27">
        <v>558</v>
      </c>
      <c r="M44" s="27">
        <v>691</v>
      </c>
      <c r="N44" s="27">
        <v>573</v>
      </c>
      <c r="O44" s="27">
        <v>949</v>
      </c>
      <c r="P44" s="27">
        <v>753</v>
      </c>
      <c r="Q44" s="27">
        <v>313</v>
      </c>
      <c r="R44" s="27">
        <v>307</v>
      </c>
      <c r="S44" s="27">
        <v>683</v>
      </c>
      <c r="T44" s="27">
        <v>686</v>
      </c>
      <c r="U44" s="27">
        <v>338</v>
      </c>
      <c r="V44" s="27">
        <v>406</v>
      </c>
      <c r="W44" s="27">
        <v>368</v>
      </c>
      <c r="X44" s="27">
        <v>393</v>
      </c>
      <c r="Y44" s="27">
        <v>295</v>
      </c>
      <c r="Z44" s="27">
        <v>249</v>
      </c>
      <c r="AA44" s="27">
        <v>408</v>
      </c>
      <c r="AB44" s="27">
        <v>423</v>
      </c>
      <c r="AC44" s="27">
        <v>492</v>
      </c>
      <c r="AD44" s="27">
        <v>436</v>
      </c>
      <c r="AE44" s="27">
        <v>466</v>
      </c>
      <c r="AF44" s="27">
        <v>461</v>
      </c>
      <c r="AG44" s="27">
        <v>430</v>
      </c>
      <c r="AH44" s="27">
        <v>721</v>
      </c>
      <c r="AI44" s="27">
        <v>172</v>
      </c>
      <c r="AJ44" s="27">
        <v>248</v>
      </c>
      <c r="AK44" s="27">
        <v>999</v>
      </c>
      <c r="AL44" s="27">
        <v>1042</v>
      </c>
      <c r="AM44" s="27">
        <v>916</v>
      </c>
      <c r="AN44" s="27">
        <v>922</v>
      </c>
      <c r="AO44" s="35">
        <v>423</v>
      </c>
      <c r="AP44" s="38">
        <v>994.37</v>
      </c>
      <c r="AQ44" s="38" t="s">
        <v>63</v>
      </c>
      <c r="AR44" s="34">
        <v>0</v>
      </c>
      <c r="AS44" s="38">
        <v>139.54</v>
      </c>
      <c r="AT44" s="38">
        <v>742.02</v>
      </c>
      <c r="AU44" s="38">
        <v>844.85</v>
      </c>
      <c r="AV44" s="38">
        <v>775.62</v>
      </c>
      <c r="AW44" s="38">
        <v>622.95000000000005</v>
      </c>
      <c r="AX44" s="38">
        <v>231.51</v>
      </c>
    </row>
    <row r="45" spans="1:50" ht="15.75" customHeight="1" x14ac:dyDescent="0.3">
      <c r="A45" s="11" t="s">
        <v>41</v>
      </c>
      <c r="B45" s="11">
        <f t="shared" si="1"/>
        <v>43</v>
      </c>
      <c r="C45" s="27">
        <v>644.35</v>
      </c>
      <c r="D45" s="27">
        <v>837</v>
      </c>
      <c r="E45" s="27">
        <v>611</v>
      </c>
      <c r="F45" s="27">
        <v>648</v>
      </c>
      <c r="G45" s="27">
        <v>719</v>
      </c>
      <c r="H45" s="27">
        <v>745</v>
      </c>
      <c r="I45" s="27">
        <v>645</v>
      </c>
      <c r="J45" s="27">
        <v>674</v>
      </c>
      <c r="K45" s="27">
        <v>762</v>
      </c>
      <c r="L45" s="27">
        <v>698</v>
      </c>
      <c r="M45" s="27">
        <v>830</v>
      </c>
      <c r="N45" s="27">
        <v>712</v>
      </c>
      <c r="O45" s="27">
        <v>1074</v>
      </c>
      <c r="P45" s="27">
        <v>961</v>
      </c>
      <c r="Q45" s="27">
        <v>445</v>
      </c>
      <c r="R45" s="27">
        <v>418</v>
      </c>
      <c r="S45" s="27">
        <v>821</v>
      </c>
      <c r="T45" s="27">
        <v>821</v>
      </c>
      <c r="U45" s="27">
        <v>444</v>
      </c>
      <c r="V45" s="27">
        <v>506</v>
      </c>
      <c r="W45" s="27">
        <v>481</v>
      </c>
      <c r="X45" s="27">
        <v>482</v>
      </c>
      <c r="Y45" s="27">
        <v>432</v>
      </c>
      <c r="Z45" s="27">
        <v>365</v>
      </c>
      <c r="AA45" s="27">
        <v>541</v>
      </c>
      <c r="AB45" s="27">
        <v>561</v>
      </c>
      <c r="AC45" s="27">
        <v>622</v>
      </c>
      <c r="AD45" s="27">
        <v>562</v>
      </c>
      <c r="AE45" s="27">
        <v>595</v>
      </c>
      <c r="AF45" s="27">
        <v>514</v>
      </c>
      <c r="AG45" s="27">
        <v>484</v>
      </c>
      <c r="AH45" s="27">
        <v>737</v>
      </c>
      <c r="AI45" s="27">
        <v>306</v>
      </c>
      <c r="AJ45" s="27">
        <v>358</v>
      </c>
      <c r="AK45" s="27">
        <v>1135</v>
      </c>
      <c r="AL45" s="27">
        <v>1178</v>
      </c>
      <c r="AM45" s="27">
        <v>1055</v>
      </c>
      <c r="AN45" s="27">
        <v>950</v>
      </c>
      <c r="AO45" s="35">
        <v>524</v>
      </c>
      <c r="AP45" s="38" t="s">
        <v>61</v>
      </c>
      <c r="AQ45" s="38" t="s">
        <v>64</v>
      </c>
      <c r="AR45" s="38">
        <v>139.54</v>
      </c>
      <c r="AS45" s="34">
        <v>0</v>
      </c>
      <c r="AT45" s="38">
        <v>881.39</v>
      </c>
      <c r="AU45" s="38">
        <v>984.24</v>
      </c>
      <c r="AV45" s="38">
        <v>914.15</v>
      </c>
      <c r="AW45" s="38" t="s">
        <v>66</v>
      </c>
      <c r="AX45" s="38">
        <v>333.84</v>
      </c>
    </row>
    <row r="46" spans="1:50" ht="15.75" customHeight="1" x14ac:dyDescent="0.3">
      <c r="A46" s="11" t="s">
        <v>42</v>
      </c>
      <c r="B46" s="11">
        <f t="shared" si="1"/>
        <v>44</v>
      </c>
      <c r="C46" s="27">
        <v>168</v>
      </c>
      <c r="D46" s="27">
        <v>239</v>
      </c>
      <c r="E46" s="27">
        <v>270</v>
      </c>
      <c r="F46" s="27">
        <v>365</v>
      </c>
      <c r="G46" s="27">
        <v>260</v>
      </c>
      <c r="H46" s="27">
        <v>299</v>
      </c>
      <c r="I46" s="27">
        <v>316</v>
      </c>
      <c r="J46" s="27">
        <v>249</v>
      </c>
      <c r="K46" s="27">
        <v>133</v>
      </c>
      <c r="L46" s="27">
        <v>199</v>
      </c>
      <c r="M46" s="27">
        <v>117</v>
      </c>
      <c r="N46" s="27">
        <v>243</v>
      </c>
      <c r="O46" s="27">
        <v>417</v>
      </c>
      <c r="P46" s="27">
        <v>501</v>
      </c>
      <c r="Q46" s="27">
        <v>458</v>
      </c>
      <c r="R46" s="27">
        <v>550</v>
      </c>
      <c r="S46" s="27">
        <v>190</v>
      </c>
      <c r="T46" s="27">
        <v>256</v>
      </c>
      <c r="U46" s="27">
        <v>590</v>
      </c>
      <c r="V46" s="27">
        <v>601</v>
      </c>
      <c r="W46" s="27">
        <v>551</v>
      </c>
      <c r="X46" s="27">
        <v>652</v>
      </c>
      <c r="Y46" s="27">
        <v>464</v>
      </c>
      <c r="Z46" s="27">
        <v>594</v>
      </c>
      <c r="AA46" s="27">
        <v>405</v>
      </c>
      <c r="AB46" s="27">
        <v>334</v>
      </c>
      <c r="AC46" s="27">
        <v>384</v>
      </c>
      <c r="AD46" s="27">
        <v>437</v>
      </c>
      <c r="AE46" s="27">
        <v>401</v>
      </c>
      <c r="AF46" s="27">
        <v>745</v>
      </c>
      <c r="AG46" s="27">
        <v>716</v>
      </c>
      <c r="AH46" s="27">
        <v>993</v>
      </c>
      <c r="AI46" s="27">
        <v>580</v>
      </c>
      <c r="AJ46" s="27">
        <v>611</v>
      </c>
      <c r="AK46" s="27">
        <v>311</v>
      </c>
      <c r="AL46" s="27">
        <v>339</v>
      </c>
      <c r="AM46" s="27">
        <v>177</v>
      </c>
      <c r="AN46" s="27">
        <v>1069</v>
      </c>
      <c r="AO46" s="35">
        <v>547</v>
      </c>
      <c r="AP46" s="38">
        <v>349.85</v>
      </c>
      <c r="AQ46" s="38">
        <v>214.41</v>
      </c>
      <c r="AR46" s="38">
        <v>742.02</v>
      </c>
      <c r="AS46" s="38">
        <v>881.39</v>
      </c>
      <c r="AT46" s="34">
        <v>0</v>
      </c>
      <c r="AU46" s="38">
        <v>102.93</v>
      </c>
      <c r="AV46" s="38">
        <v>66.55</v>
      </c>
      <c r="AW46" s="38">
        <v>108.33</v>
      </c>
      <c r="AX46" s="38">
        <v>644.46</v>
      </c>
    </row>
    <row r="47" spans="1:50" ht="15.75" customHeight="1" x14ac:dyDescent="0.3">
      <c r="A47" s="11" t="s">
        <v>43</v>
      </c>
      <c r="B47" s="11">
        <f t="shared" si="1"/>
        <v>45</v>
      </c>
      <c r="C47" s="27">
        <v>371.64</v>
      </c>
      <c r="D47" s="27">
        <v>293</v>
      </c>
      <c r="E47" s="27">
        <v>373</v>
      </c>
      <c r="F47" s="27">
        <v>438</v>
      </c>
      <c r="G47" s="27">
        <v>339</v>
      </c>
      <c r="H47" s="27">
        <v>366</v>
      </c>
      <c r="I47" s="27">
        <v>403</v>
      </c>
      <c r="J47" s="27">
        <v>341</v>
      </c>
      <c r="K47" s="27">
        <v>229</v>
      </c>
      <c r="L47" s="27">
        <v>296</v>
      </c>
      <c r="M47" s="27">
        <v>187</v>
      </c>
      <c r="N47" s="27">
        <v>273</v>
      </c>
      <c r="O47" s="27">
        <v>405</v>
      </c>
      <c r="P47" s="27">
        <v>596</v>
      </c>
      <c r="Q47" s="27">
        <v>559</v>
      </c>
      <c r="R47" s="27">
        <v>648</v>
      </c>
      <c r="S47" s="27">
        <v>247</v>
      </c>
      <c r="T47" s="27">
        <v>305</v>
      </c>
      <c r="U47" s="27">
        <v>681</v>
      </c>
      <c r="V47" s="27">
        <v>686</v>
      </c>
      <c r="W47" s="27">
        <v>641</v>
      </c>
      <c r="X47" s="27">
        <v>738</v>
      </c>
      <c r="Y47" s="27">
        <v>569</v>
      </c>
      <c r="Z47" s="27">
        <v>691</v>
      </c>
      <c r="AA47" s="27">
        <v>498</v>
      </c>
      <c r="AB47" s="27">
        <v>438</v>
      </c>
      <c r="AC47" s="27">
        <v>468</v>
      </c>
      <c r="AD47" s="27">
        <v>524</v>
      </c>
      <c r="AE47" s="27">
        <v>487</v>
      </c>
      <c r="AF47" s="27">
        <v>833</v>
      </c>
      <c r="AG47" s="27">
        <v>804</v>
      </c>
      <c r="AH47" s="27">
        <v>1070</v>
      </c>
      <c r="AI47" s="27">
        <v>683</v>
      </c>
      <c r="AJ47" s="27">
        <v>708</v>
      </c>
      <c r="AK47" s="27">
        <v>246</v>
      </c>
      <c r="AL47" s="27">
        <v>264</v>
      </c>
      <c r="AM47" s="27">
        <v>80</v>
      </c>
      <c r="AN47" s="27">
        <v>1131</v>
      </c>
      <c r="AO47" s="35">
        <v>637</v>
      </c>
      <c r="AP47" s="38">
        <v>284.39</v>
      </c>
      <c r="AQ47" s="38">
        <v>141.78</v>
      </c>
      <c r="AR47" s="38">
        <v>844.85</v>
      </c>
      <c r="AS47" s="38">
        <v>984.24</v>
      </c>
      <c r="AT47" s="38">
        <v>102.93</v>
      </c>
      <c r="AU47" s="34">
        <v>0</v>
      </c>
      <c r="AV47" s="38">
        <v>95.67</v>
      </c>
      <c r="AW47" s="38">
        <v>229.92</v>
      </c>
      <c r="AX47" s="38">
        <v>693.59</v>
      </c>
    </row>
    <row r="48" spans="1:50" ht="15.75" customHeight="1" x14ac:dyDescent="0.3">
      <c r="A48" s="11" t="s">
        <v>44</v>
      </c>
      <c r="B48" s="11">
        <f t="shared" si="1"/>
        <v>46</v>
      </c>
      <c r="C48" s="27">
        <v>285.12</v>
      </c>
      <c r="D48" s="27">
        <v>199</v>
      </c>
      <c r="E48" s="27">
        <v>305</v>
      </c>
      <c r="F48" s="27">
        <v>418</v>
      </c>
      <c r="G48" s="27">
        <v>323</v>
      </c>
      <c r="H48" s="27">
        <v>365</v>
      </c>
      <c r="I48" s="27">
        <v>376</v>
      </c>
      <c r="J48" s="27">
        <v>306</v>
      </c>
      <c r="K48" s="27">
        <v>190</v>
      </c>
      <c r="L48" s="27">
        <v>252</v>
      </c>
      <c r="M48" s="27">
        <v>182</v>
      </c>
      <c r="N48" s="27">
        <v>203</v>
      </c>
      <c r="O48" s="27">
        <v>353</v>
      </c>
      <c r="P48" s="27">
        <v>504</v>
      </c>
      <c r="Q48" s="27">
        <v>479</v>
      </c>
      <c r="R48" s="27">
        <v>561</v>
      </c>
      <c r="S48" s="27">
        <v>256</v>
      </c>
      <c r="T48" s="27">
        <v>321</v>
      </c>
      <c r="U48" s="27">
        <v>645</v>
      </c>
      <c r="V48" s="27">
        <v>659</v>
      </c>
      <c r="W48" s="27">
        <v>607</v>
      </c>
      <c r="X48" s="27">
        <v>709</v>
      </c>
      <c r="Y48" s="27">
        <v>506</v>
      </c>
      <c r="Z48" s="27">
        <v>643</v>
      </c>
      <c r="AA48" s="27">
        <v>459</v>
      </c>
      <c r="AB48" s="27">
        <v>381</v>
      </c>
      <c r="AC48" s="27">
        <v>445</v>
      </c>
      <c r="AD48" s="27">
        <v>496</v>
      </c>
      <c r="AE48" s="27">
        <v>460</v>
      </c>
      <c r="AF48" s="27">
        <v>739</v>
      </c>
      <c r="AG48" s="27">
        <v>710</v>
      </c>
      <c r="AH48" s="27">
        <v>974</v>
      </c>
      <c r="AI48" s="27">
        <v>609</v>
      </c>
      <c r="AJ48" s="27">
        <v>661</v>
      </c>
      <c r="AK48" s="27">
        <v>250</v>
      </c>
      <c r="AL48" s="27">
        <v>283</v>
      </c>
      <c r="AM48" s="27">
        <v>144</v>
      </c>
      <c r="AN48" s="27">
        <v>1038</v>
      </c>
      <c r="AO48" s="35">
        <v>543</v>
      </c>
      <c r="AP48" s="38">
        <v>285.77</v>
      </c>
      <c r="AQ48" s="38">
        <v>161.47999999999999</v>
      </c>
      <c r="AR48" s="38">
        <v>775.62</v>
      </c>
      <c r="AS48" s="38">
        <v>914.15</v>
      </c>
      <c r="AT48" s="38">
        <v>66.55</v>
      </c>
      <c r="AU48" s="38">
        <v>95.67</v>
      </c>
      <c r="AV48" s="34">
        <v>0</v>
      </c>
      <c r="AW48" s="38">
        <v>190.73</v>
      </c>
      <c r="AX48" s="38">
        <v>693.59</v>
      </c>
    </row>
    <row r="49" spans="1:50" ht="15.75" customHeight="1" x14ac:dyDescent="0.3">
      <c r="A49" s="11" t="s">
        <v>45</v>
      </c>
      <c r="B49" s="11">
        <f t="shared" si="1"/>
        <v>47</v>
      </c>
      <c r="C49" s="27">
        <v>166.68</v>
      </c>
      <c r="D49" s="27">
        <v>181</v>
      </c>
      <c r="E49" s="27">
        <v>176</v>
      </c>
      <c r="F49" s="27">
        <v>325</v>
      </c>
      <c r="G49" s="27">
        <v>244</v>
      </c>
      <c r="H49" s="27">
        <v>298</v>
      </c>
      <c r="I49" s="27">
        <v>278</v>
      </c>
      <c r="J49" s="27">
        <v>341</v>
      </c>
      <c r="K49" s="27">
        <v>104</v>
      </c>
      <c r="L49" s="27">
        <v>145</v>
      </c>
      <c r="M49" s="27">
        <v>152</v>
      </c>
      <c r="N49" s="27">
        <v>280</v>
      </c>
      <c r="O49" s="27">
        <v>414</v>
      </c>
      <c r="P49" s="27">
        <v>434</v>
      </c>
      <c r="Q49" s="27">
        <v>353</v>
      </c>
      <c r="R49" s="27">
        <v>441</v>
      </c>
      <c r="S49" s="27">
        <v>219</v>
      </c>
      <c r="T49" s="27">
        <v>282</v>
      </c>
      <c r="U49" s="27">
        <v>530</v>
      </c>
      <c r="V49" s="27">
        <v>552</v>
      </c>
      <c r="W49" s="27">
        <v>495</v>
      </c>
      <c r="X49" s="27">
        <v>600</v>
      </c>
      <c r="Y49" s="27">
        <v>380</v>
      </c>
      <c r="Z49" s="27">
        <v>520</v>
      </c>
      <c r="AA49" s="27">
        <v>345</v>
      </c>
      <c r="AB49" s="27">
        <v>258</v>
      </c>
      <c r="AC49" s="27">
        <v>348</v>
      </c>
      <c r="AD49" s="27">
        <v>388</v>
      </c>
      <c r="AE49" s="27">
        <v>358</v>
      </c>
      <c r="AF49" s="27">
        <v>639</v>
      </c>
      <c r="AG49" s="27">
        <v>629</v>
      </c>
      <c r="AH49" s="27">
        <v>893</v>
      </c>
      <c r="AI49" s="27">
        <v>480</v>
      </c>
      <c r="AJ49" s="27">
        <v>538</v>
      </c>
      <c r="AK49" s="27">
        <v>368</v>
      </c>
      <c r="AL49" s="27">
        <v>406</v>
      </c>
      <c r="AM49" s="27">
        <v>271</v>
      </c>
      <c r="AN49" s="27">
        <v>980</v>
      </c>
      <c r="AO49" s="35">
        <v>440</v>
      </c>
      <c r="AP49" s="38" t="s">
        <v>62</v>
      </c>
      <c r="AQ49" s="38" t="s">
        <v>65</v>
      </c>
      <c r="AR49" s="38">
        <v>622.95000000000005</v>
      </c>
      <c r="AS49" s="38" t="s">
        <v>66</v>
      </c>
      <c r="AT49" s="38">
        <v>108.33</v>
      </c>
      <c r="AU49" s="38">
        <v>229.92</v>
      </c>
      <c r="AV49" s="38">
        <v>190.73</v>
      </c>
      <c r="AW49" s="34">
        <v>0</v>
      </c>
      <c r="AX49" s="38">
        <v>512.17999999999995</v>
      </c>
    </row>
    <row r="50" spans="1:50" ht="15.75" customHeight="1" x14ac:dyDescent="0.3">
      <c r="A50" s="11" t="s">
        <v>46</v>
      </c>
      <c r="B50" s="11">
        <f t="shared" si="1"/>
        <v>48</v>
      </c>
      <c r="C50" s="27">
        <v>610</v>
      </c>
      <c r="D50" s="27">
        <v>683</v>
      </c>
      <c r="E50" s="27">
        <v>400</v>
      </c>
      <c r="F50" s="27">
        <v>410</v>
      </c>
      <c r="G50" s="27">
        <v>428</v>
      </c>
      <c r="H50" s="27">
        <v>439</v>
      </c>
      <c r="I50" s="27">
        <v>353</v>
      </c>
      <c r="J50" s="27">
        <v>402</v>
      </c>
      <c r="K50" s="27">
        <v>512</v>
      </c>
      <c r="L50" s="27">
        <v>445</v>
      </c>
      <c r="M50" s="27">
        <v>564</v>
      </c>
      <c r="N50" s="27">
        <v>496</v>
      </c>
      <c r="O50" s="27">
        <v>943</v>
      </c>
      <c r="P50" s="27">
        <v>469</v>
      </c>
      <c r="Q50" s="27">
        <v>341</v>
      </c>
      <c r="R50" s="27">
        <v>409</v>
      </c>
      <c r="S50" s="27">
        <v>534</v>
      </c>
      <c r="T50" s="27">
        <v>519</v>
      </c>
      <c r="U50" s="27">
        <v>110</v>
      </c>
      <c r="V50" s="27">
        <v>175</v>
      </c>
      <c r="W50" s="27">
        <v>151</v>
      </c>
      <c r="X50" s="27">
        <v>163</v>
      </c>
      <c r="Y50" s="27">
        <v>139</v>
      </c>
      <c r="Z50" s="27">
        <v>45</v>
      </c>
      <c r="AA50" s="27">
        <v>242</v>
      </c>
      <c r="AB50" s="27">
        <v>312</v>
      </c>
      <c r="AC50" s="27">
        <v>310</v>
      </c>
      <c r="AD50" s="27">
        <v>246</v>
      </c>
      <c r="AE50" s="27">
        <v>283</v>
      </c>
      <c r="AF50" s="27">
        <v>745</v>
      </c>
      <c r="AG50" s="27">
        <v>716</v>
      </c>
      <c r="AH50" s="27">
        <v>915</v>
      </c>
      <c r="AI50" s="27">
        <v>249</v>
      </c>
      <c r="AJ50" s="27">
        <v>168</v>
      </c>
      <c r="AK50" s="27">
        <v>939</v>
      </c>
      <c r="AL50" s="27">
        <v>976</v>
      </c>
      <c r="AM50" s="27">
        <v>820</v>
      </c>
      <c r="AN50" s="27">
        <v>1100</v>
      </c>
      <c r="AO50" s="35">
        <v>528</v>
      </c>
      <c r="AP50" s="38">
        <v>952.78</v>
      </c>
      <c r="AQ50" s="38">
        <v>854.97</v>
      </c>
      <c r="AR50" s="38">
        <v>231.51</v>
      </c>
      <c r="AS50" s="38">
        <v>333.84</v>
      </c>
      <c r="AT50" s="38">
        <v>644.46</v>
      </c>
      <c r="AU50" s="38">
        <v>693.59</v>
      </c>
      <c r="AV50" s="38">
        <v>693.59</v>
      </c>
      <c r="AW50" s="38">
        <v>512.17999999999995</v>
      </c>
      <c r="AX50" s="34">
        <v>0</v>
      </c>
    </row>
    <row r="51" spans="1:50" ht="15.7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2"/>
      <c r="AP51" s="7"/>
      <c r="AQ51" s="7"/>
      <c r="AR51" s="7"/>
      <c r="AS51" s="7"/>
      <c r="AT51" s="7"/>
      <c r="AU51" s="7"/>
      <c r="AV51" s="7"/>
      <c r="AW51" s="7"/>
      <c r="AX51" s="7"/>
    </row>
    <row r="52" spans="1:50" ht="15.75" customHeight="1" x14ac:dyDescent="0.3">
      <c r="A52" s="1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2"/>
      <c r="AP52" s="7"/>
      <c r="AQ52" s="7"/>
      <c r="AR52" s="7"/>
      <c r="AS52" s="7"/>
      <c r="AT52" s="7"/>
      <c r="AU52" s="7"/>
      <c r="AV52" s="7"/>
      <c r="AW52" s="7"/>
      <c r="AX52" s="7"/>
    </row>
    <row r="53" spans="1:50" ht="15.7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2"/>
      <c r="AP53" s="7"/>
      <c r="AQ53" s="7"/>
      <c r="AR53" s="7"/>
      <c r="AS53" s="7"/>
      <c r="AT53" s="7"/>
      <c r="AU53" s="7"/>
      <c r="AV53" s="7"/>
      <c r="AW53" s="7"/>
      <c r="AX53" s="7"/>
    </row>
    <row r="54" spans="1:50" ht="15.7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2"/>
      <c r="AP54" s="7"/>
      <c r="AQ54" s="7"/>
      <c r="AR54" s="7"/>
      <c r="AS54" s="7"/>
      <c r="AT54" s="7"/>
      <c r="AU54" s="7"/>
      <c r="AV54" s="24"/>
      <c r="AW54" s="7"/>
      <c r="AX54" s="7"/>
    </row>
    <row r="55" spans="1:50" ht="15.7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2"/>
      <c r="AP55" s="7"/>
      <c r="AQ55" s="7"/>
      <c r="AR55" s="7"/>
      <c r="AS55" s="7"/>
      <c r="AT55" s="7"/>
      <c r="AU55" s="7"/>
      <c r="AV55" s="7"/>
      <c r="AW55" s="7"/>
      <c r="AX55" s="7"/>
    </row>
    <row r="56" spans="1:50" ht="15.7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2"/>
      <c r="AP56" s="7"/>
      <c r="AQ56" s="7"/>
      <c r="AR56" s="7"/>
      <c r="AS56" s="7"/>
      <c r="AT56" s="7"/>
      <c r="AU56" s="7"/>
      <c r="AV56" s="7"/>
      <c r="AW56" s="7"/>
      <c r="AX56" s="7"/>
    </row>
    <row r="57" spans="1:50" ht="15.7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2"/>
      <c r="AP57" s="7"/>
      <c r="AQ57" s="7"/>
      <c r="AR57" s="7"/>
      <c r="AS57" s="7"/>
      <c r="AT57" s="7"/>
      <c r="AU57" s="7"/>
      <c r="AV57" s="7"/>
      <c r="AW57" s="7"/>
      <c r="AX57" s="7"/>
    </row>
    <row r="58" spans="1:50" ht="15.7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2"/>
      <c r="AP58" s="7"/>
      <c r="AQ58" s="7"/>
      <c r="AR58" s="7"/>
      <c r="AS58" s="7"/>
      <c r="AT58" s="7"/>
      <c r="AU58" s="7"/>
      <c r="AV58" s="7"/>
      <c r="AW58" s="7"/>
      <c r="AX58" s="7"/>
    </row>
    <row r="59" spans="1:50" ht="15.7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2"/>
      <c r="AP59" s="7"/>
      <c r="AQ59" s="7"/>
      <c r="AR59" s="7"/>
      <c r="AS59" s="7"/>
      <c r="AT59" s="7"/>
      <c r="AU59" s="7"/>
      <c r="AV59" s="7"/>
      <c r="AW59" s="7"/>
      <c r="AX59" s="7"/>
    </row>
    <row r="60" spans="1:50" ht="15.7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2"/>
      <c r="AP60" s="7"/>
      <c r="AQ60" s="7"/>
      <c r="AR60" s="7"/>
      <c r="AS60" s="7"/>
      <c r="AT60" s="7"/>
      <c r="AU60" s="7"/>
      <c r="AV60" s="7"/>
      <c r="AW60" s="7"/>
      <c r="AX60" s="7"/>
    </row>
    <row r="61" spans="1:50" ht="15.7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2"/>
      <c r="AP61" s="7"/>
      <c r="AQ61" s="7"/>
      <c r="AR61" s="7"/>
      <c r="AS61" s="7"/>
      <c r="AT61" s="7"/>
      <c r="AU61" s="7"/>
      <c r="AV61" s="7"/>
      <c r="AW61" s="7"/>
      <c r="AX61" s="7"/>
    </row>
    <row r="62" spans="1:50" ht="15.7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2"/>
      <c r="AP62" s="7"/>
      <c r="AQ62" s="7"/>
      <c r="AR62" s="7"/>
      <c r="AS62" s="7"/>
      <c r="AT62" s="7"/>
      <c r="AU62" s="7"/>
      <c r="AV62" s="7"/>
      <c r="AW62" s="7"/>
      <c r="AX62" s="7"/>
    </row>
    <row r="63" spans="1:50" ht="15.7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2"/>
      <c r="AP63" s="7"/>
      <c r="AQ63" s="7"/>
      <c r="AR63" s="7"/>
      <c r="AS63" s="7"/>
      <c r="AT63" s="7"/>
      <c r="AU63" s="7"/>
      <c r="AV63" s="7"/>
      <c r="AW63" s="7"/>
      <c r="AX63" s="7"/>
    </row>
    <row r="64" spans="1:50" ht="15.7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2"/>
      <c r="AP64" s="7"/>
      <c r="AQ64" s="7"/>
      <c r="AR64" s="7"/>
      <c r="AS64" s="7"/>
      <c r="AT64" s="7"/>
      <c r="AU64" s="7"/>
      <c r="AV64" s="7"/>
      <c r="AW64" s="7"/>
      <c r="AX64" s="7"/>
    </row>
    <row r="65" spans="1:50" ht="15.7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2"/>
      <c r="AP65" s="7"/>
      <c r="AQ65" s="7"/>
      <c r="AR65" s="7"/>
      <c r="AS65" s="7"/>
      <c r="AT65" s="7"/>
      <c r="AU65" s="7"/>
      <c r="AV65" s="7"/>
      <c r="AW65" s="7"/>
      <c r="AX65" s="7"/>
    </row>
    <row r="66" spans="1:50" ht="15.7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2"/>
      <c r="AP66" s="7"/>
      <c r="AQ66" s="7"/>
      <c r="AR66" s="7"/>
      <c r="AS66" s="7"/>
      <c r="AT66" s="7"/>
      <c r="AU66" s="7"/>
      <c r="AV66" s="7"/>
      <c r="AW66" s="7"/>
      <c r="AX66" s="7"/>
    </row>
    <row r="67" spans="1:50" ht="15.7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2"/>
      <c r="AP67" s="7"/>
      <c r="AQ67" s="7"/>
      <c r="AR67" s="7"/>
      <c r="AS67" s="7"/>
      <c r="AT67" s="7"/>
      <c r="AU67" s="7"/>
      <c r="AV67" s="7"/>
      <c r="AW67" s="7"/>
      <c r="AX67" s="7"/>
    </row>
    <row r="68" spans="1:50" ht="15.7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2"/>
      <c r="AP68" s="7"/>
      <c r="AQ68" s="7"/>
      <c r="AR68" s="7"/>
      <c r="AS68" s="7"/>
      <c r="AT68" s="7"/>
      <c r="AU68" s="7"/>
      <c r="AV68" s="7"/>
      <c r="AW68" s="7"/>
      <c r="AX68" s="7"/>
    </row>
    <row r="69" spans="1:50" ht="15.7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2"/>
      <c r="AP69" s="7"/>
      <c r="AQ69" s="7"/>
      <c r="AR69" s="7"/>
      <c r="AS69" s="7"/>
      <c r="AT69" s="7"/>
      <c r="AU69" s="7"/>
      <c r="AV69" s="7"/>
      <c r="AW69" s="7"/>
      <c r="AX69" s="7"/>
    </row>
    <row r="70" spans="1:50" ht="15.7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2"/>
      <c r="AP70" s="7"/>
      <c r="AQ70" s="7"/>
      <c r="AR70" s="7"/>
      <c r="AS70" s="7"/>
      <c r="AT70" s="7"/>
      <c r="AU70" s="7"/>
      <c r="AV70" s="7"/>
      <c r="AW70" s="7"/>
      <c r="AX70" s="7"/>
    </row>
    <row r="71" spans="1:50" ht="15.7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2"/>
      <c r="AP71" s="7"/>
      <c r="AQ71" s="7"/>
      <c r="AR71" s="7"/>
      <c r="AS71" s="7"/>
      <c r="AT71" s="7"/>
      <c r="AU71" s="7"/>
      <c r="AV71" s="7"/>
      <c r="AW71" s="7"/>
      <c r="AX71" s="7"/>
    </row>
    <row r="72" spans="1:50" ht="15.7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2"/>
      <c r="AP72" s="7"/>
      <c r="AQ72" s="7"/>
      <c r="AR72" s="7"/>
      <c r="AS72" s="7"/>
      <c r="AT72" s="7"/>
      <c r="AU72" s="7"/>
      <c r="AV72" s="7"/>
      <c r="AW72" s="7"/>
      <c r="AX72" s="7"/>
    </row>
    <row r="73" spans="1:50" ht="15.7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2"/>
      <c r="AP73" s="7"/>
      <c r="AQ73" s="7"/>
      <c r="AR73" s="7"/>
      <c r="AS73" s="7"/>
      <c r="AT73" s="7"/>
      <c r="AU73" s="7"/>
      <c r="AV73" s="7"/>
      <c r="AW73" s="7"/>
      <c r="AX73" s="7"/>
    </row>
    <row r="74" spans="1:50" ht="15.7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2"/>
      <c r="AP74" s="7"/>
      <c r="AQ74" s="7"/>
      <c r="AR74" s="7"/>
      <c r="AS74" s="7"/>
      <c r="AT74" s="7"/>
      <c r="AU74" s="7"/>
      <c r="AV74" s="7"/>
      <c r="AW74" s="7"/>
      <c r="AX74" s="7"/>
    </row>
    <row r="75" spans="1:50" ht="15.7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2"/>
      <c r="AP75" s="7"/>
      <c r="AQ75" s="7"/>
      <c r="AR75" s="7"/>
      <c r="AS75" s="7"/>
      <c r="AT75" s="7"/>
      <c r="AU75" s="7"/>
      <c r="AV75" s="7"/>
      <c r="AW75" s="7"/>
      <c r="AX75" s="7"/>
    </row>
    <row r="76" spans="1:50" ht="15.7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2"/>
      <c r="AP76" s="7"/>
      <c r="AQ76" s="7"/>
      <c r="AR76" s="7"/>
      <c r="AS76" s="7"/>
      <c r="AT76" s="7"/>
      <c r="AU76" s="7"/>
      <c r="AV76" s="7"/>
      <c r="AW76" s="7"/>
      <c r="AX76" s="7"/>
    </row>
    <row r="77" spans="1:50" ht="15.7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2"/>
      <c r="AP77" s="7"/>
      <c r="AQ77" s="7"/>
      <c r="AR77" s="7"/>
      <c r="AS77" s="7"/>
      <c r="AT77" s="7"/>
      <c r="AU77" s="7"/>
      <c r="AV77" s="7"/>
      <c r="AW77" s="7"/>
      <c r="AX77" s="7"/>
    </row>
    <row r="78" spans="1:50" ht="15.7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2"/>
      <c r="AP78" s="7"/>
      <c r="AQ78" s="7"/>
      <c r="AR78" s="7"/>
      <c r="AS78" s="7"/>
      <c r="AT78" s="7"/>
      <c r="AU78" s="7"/>
      <c r="AV78" s="7"/>
      <c r="AW78" s="7"/>
      <c r="AX78" s="7"/>
    </row>
    <row r="79" spans="1:50" ht="15.7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2"/>
      <c r="AP79" s="7"/>
      <c r="AQ79" s="7"/>
      <c r="AR79" s="7"/>
      <c r="AS79" s="7"/>
      <c r="AT79" s="7"/>
      <c r="AU79" s="7"/>
      <c r="AV79" s="7"/>
      <c r="AW79" s="7"/>
      <c r="AX79" s="7"/>
    </row>
    <row r="80" spans="1:50" ht="15.7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2"/>
      <c r="AP80" s="7"/>
      <c r="AQ80" s="7"/>
      <c r="AR80" s="7"/>
      <c r="AS80" s="7"/>
      <c r="AT80" s="7"/>
      <c r="AU80" s="7"/>
      <c r="AV80" s="7"/>
      <c r="AW80" s="7"/>
      <c r="AX80" s="7"/>
    </row>
    <row r="81" spans="1:50" ht="15.7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2"/>
      <c r="AP81" s="7"/>
      <c r="AQ81" s="7"/>
      <c r="AR81" s="7"/>
      <c r="AS81" s="7"/>
      <c r="AT81" s="7"/>
      <c r="AU81" s="7"/>
      <c r="AV81" s="7"/>
      <c r="AW81" s="7"/>
      <c r="AX81" s="7"/>
    </row>
    <row r="82" spans="1:50" ht="15.7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2"/>
      <c r="AP82" s="7"/>
      <c r="AQ82" s="7"/>
      <c r="AR82" s="7"/>
      <c r="AS82" s="7"/>
      <c r="AT82" s="7"/>
      <c r="AU82" s="7"/>
      <c r="AV82" s="7"/>
      <c r="AW82" s="7"/>
      <c r="AX82" s="7"/>
    </row>
    <row r="83" spans="1:50" ht="15.7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2"/>
      <c r="AP83" s="7"/>
      <c r="AQ83" s="7"/>
      <c r="AR83" s="7"/>
      <c r="AS83" s="7"/>
      <c r="AT83" s="7"/>
      <c r="AU83" s="7"/>
      <c r="AV83" s="7"/>
      <c r="AW83" s="7"/>
      <c r="AX83" s="7"/>
    </row>
    <row r="84" spans="1:50" ht="15.7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2"/>
      <c r="AP84" s="7"/>
      <c r="AQ84" s="7"/>
      <c r="AR84" s="7"/>
      <c r="AS84" s="7"/>
      <c r="AT84" s="7"/>
      <c r="AU84" s="7"/>
      <c r="AV84" s="7"/>
      <c r="AW84" s="7"/>
      <c r="AX84" s="7"/>
    </row>
    <row r="85" spans="1:50" ht="15.7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2"/>
      <c r="AP85" s="7"/>
      <c r="AQ85" s="7"/>
      <c r="AR85" s="7"/>
      <c r="AS85" s="7"/>
      <c r="AT85" s="7"/>
      <c r="AU85" s="7"/>
      <c r="AV85" s="7"/>
      <c r="AW85" s="7"/>
      <c r="AX85" s="7"/>
    </row>
    <row r="86" spans="1:50" ht="15.7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2"/>
      <c r="AP86" s="7"/>
      <c r="AQ86" s="7"/>
      <c r="AR86" s="7"/>
      <c r="AS86" s="7"/>
      <c r="AT86" s="7"/>
      <c r="AU86" s="7"/>
      <c r="AV86" s="7"/>
      <c r="AW86" s="7"/>
      <c r="AX86" s="7"/>
    </row>
    <row r="87" spans="1:50" ht="15.7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2"/>
      <c r="AP87" s="7"/>
      <c r="AQ87" s="7"/>
      <c r="AR87" s="7"/>
      <c r="AS87" s="7"/>
      <c r="AT87" s="7"/>
      <c r="AU87" s="7"/>
      <c r="AV87" s="7"/>
      <c r="AW87" s="7"/>
      <c r="AX87" s="7"/>
    </row>
    <row r="88" spans="1:50" ht="15.7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2"/>
      <c r="AP88" s="7"/>
      <c r="AQ88" s="7"/>
      <c r="AR88" s="7"/>
      <c r="AS88" s="7"/>
      <c r="AT88" s="7"/>
      <c r="AU88" s="7"/>
      <c r="AV88" s="7"/>
      <c r="AW88" s="7"/>
      <c r="AX88" s="7"/>
    </row>
    <row r="89" spans="1:50" ht="15.7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2"/>
      <c r="AP89" s="7"/>
      <c r="AQ89" s="7"/>
      <c r="AR89" s="7"/>
      <c r="AS89" s="7"/>
      <c r="AT89" s="7"/>
      <c r="AU89" s="7"/>
      <c r="AV89" s="7"/>
      <c r="AW89" s="7"/>
      <c r="AX89" s="7"/>
    </row>
    <row r="90" spans="1:50" ht="15.7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2"/>
      <c r="AP90" s="7"/>
      <c r="AQ90" s="7"/>
      <c r="AR90" s="7"/>
      <c r="AS90" s="7"/>
      <c r="AT90" s="7"/>
      <c r="AU90" s="7"/>
      <c r="AV90" s="7"/>
      <c r="AW90" s="7"/>
      <c r="AX90" s="7"/>
    </row>
    <row r="91" spans="1:50" ht="15.7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2"/>
      <c r="AP91" s="7"/>
      <c r="AQ91" s="7"/>
      <c r="AR91" s="7"/>
      <c r="AS91" s="7"/>
      <c r="AT91" s="7"/>
      <c r="AU91" s="7"/>
      <c r="AV91" s="7"/>
      <c r="AW91" s="7"/>
      <c r="AX91" s="7"/>
    </row>
    <row r="92" spans="1:50" ht="15.7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2"/>
      <c r="AP92" s="7"/>
      <c r="AQ92" s="7"/>
      <c r="AR92" s="7"/>
      <c r="AS92" s="7"/>
      <c r="AT92" s="7"/>
      <c r="AU92" s="7"/>
      <c r="AV92" s="7"/>
      <c r="AW92" s="7"/>
      <c r="AX92" s="7"/>
    </row>
    <row r="93" spans="1:50" ht="15.7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2"/>
      <c r="AP93" s="7"/>
      <c r="AQ93" s="7"/>
      <c r="AR93" s="7"/>
      <c r="AS93" s="7"/>
      <c r="AT93" s="7"/>
      <c r="AU93" s="7"/>
      <c r="AV93" s="7"/>
      <c r="AW93" s="7"/>
      <c r="AX93" s="7"/>
    </row>
    <row r="94" spans="1:50" ht="15.7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2"/>
      <c r="AP94" s="7"/>
      <c r="AQ94" s="7"/>
      <c r="AR94" s="7"/>
      <c r="AS94" s="7"/>
      <c r="AT94" s="7"/>
      <c r="AU94" s="7"/>
      <c r="AV94" s="7"/>
      <c r="AW94" s="7"/>
      <c r="AX94" s="7"/>
    </row>
    <row r="95" spans="1:50" ht="15.7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2"/>
      <c r="AP95" s="7"/>
      <c r="AQ95" s="7"/>
      <c r="AR95" s="7"/>
      <c r="AS95" s="7"/>
      <c r="AT95" s="7"/>
      <c r="AU95" s="7"/>
      <c r="AV95" s="7"/>
      <c r="AW95" s="7"/>
      <c r="AX95" s="7"/>
    </row>
    <row r="96" spans="1:50" ht="15.7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2"/>
      <c r="AP96" s="7"/>
      <c r="AQ96" s="7"/>
      <c r="AR96" s="7"/>
      <c r="AS96" s="7"/>
      <c r="AT96" s="7"/>
      <c r="AU96" s="7"/>
      <c r="AV96" s="7"/>
      <c r="AW96" s="7"/>
      <c r="AX96" s="7"/>
    </row>
    <row r="97" spans="1:50" ht="15.7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2"/>
      <c r="AP97" s="7"/>
      <c r="AQ97" s="7"/>
      <c r="AR97" s="7"/>
      <c r="AS97" s="7"/>
      <c r="AT97" s="7"/>
      <c r="AU97" s="7"/>
      <c r="AV97" s="7"/>
      <c r="AW97" s="7"/>
      <c r="AX97" s="7"/>
    </row>
    <row r="98" spans="1:50" ht="15.7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2"/>
      <c r="AP98" s="7"/>
      <c r="AQ98" s="7"/>
      <c r="AR98" s="7"/>
      <c r="AS98" s="7"/>
      <c r="AT98" s="7"/>
      <c r="AU98" s="7"/>
      <c r="AV98" s="7"/>
      <c r="AW98" s="7"/>
      <c r="AX98" s="7"/>
    </row>
    <row r="99" spans="1:50" ht="15.7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2"/>
      <c r="AP99" s="7"/>
      <c r="AQ99" s="7"/>
      <c r="AR99" s="7"/>
      <c r="AS99" s="7"/>
      <c r="AT99" s="7"/>
      <c r="AU99" s="7"/>
      <c r="AV99" s="7"/>
      <c r="AW99" s="7"/>
      <c r="AX99" s="7"/>
    </row>
    <row r="100" spans="1:50" ht="15.75" customHeigh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2"/>
      <c r="AP100" s="7"/>
      <c r="AQ100" s="7"/>
      <c r="AR100" s="7"/>
      <c r="AS100" s="7"/>
      <c r="AT100" s="7"/>
      <c r="AU100" s="7"/>
      <c r="AV100" s="7"/>
      <c r="AW100" s="7"/>
      <c r="AX100" s="7"/>
    </row>
    <row r="101" spans="1:50" ht="15.75" customHeigh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2"/>
      <c r="AP101" s="7"/>
      <c r="AQ101" s="7"/>
      <c r="AR101" s="7"/>
      <c r="AS101" s="7"/>
      <c r="AT101" s="7"/>
      <c r="AU101" s="7"/>
      <c r="AV101" s="7"/>
      <c r="AW101" s="7"/>
      <c r="AX101" s="7"/>
    </row>
    <row r="102" spans="1:50" ht="15.75" customHeigh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2"/>
      <c r="AP102" s="7"/>
      <c r="AQ102" s="7"/>
      <c r="AR102" s="7"/>
      <c r="AS102" s="7"/>
      <c r="AT102" s="7"/>
      <c r="AU102" s="7"/>
      <c r="AV102" s="7"/>
      <c r="AW102" s="7"/>
      <c r="AX102" s="7"/>
    </row>
    <row r="103" spans="1:50" ht="15.75" customHeigh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2"/>
      <c r="AP103" s="7"/>
      <c r="AQ103" s="7"/>
      <c r="AR103" s="7"/>
      <c r="AS103" s="7"/>
      <c r="AT103" s="7"/>
      <c r="AU103" s="7"/>
      <c r="AV103" s="7"/>
      <c r="AW103" s="7"/>
      <c r="AX103" s="7"/>
    </row>
    <row r="104" spans="1:50" ht="15.75" customHeigh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2"/>
      <c r="AP104" s="7"/>
      <c r="AQ104" s="7"/>
      <c r="AR104" s="7"/>
      <c r="AS104" s="7"/>
      <c r="AT104" s="7"/>
      <c r="AU104" s="7"/>
      <c r="AV104" s="7"/>
      <c r="AW104" s="7"/>
      <c r="AX104" s="7"/>
    </row>
    <row r="105" spans="1:50" ht="15.75" customHeigh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2"/>
      <c r="AP105" s="7"/>
      <c r="AQ105" s="7"/>
      <c r="AR105" s="7"/>
      <c r="AS105" s="7"/>
      <c r="AT105" s="7"/>
      <c r="AU105" s="7"/>
      <c r="AV105" s="7"/>
      <c r="AW105" s="7"/>
      <c r="AX105" s="7"/>
    </row>
    <row r="106" spans="1:50" ht="15.75" customHeigh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2"/>
      <c r="AP106" s="7"/>
      <c r="AQ106" s="7"/>
      <c r="AR106" s="7"/>
      <c r="AS106" s="7"/>
      <c r="AT106" s="7"/>
      <c r="AU106" s="7"/>
      <c r="AV106" s="7"/>
      <c r="AW106" s="7"/>
      <c r="AX106" s="7"/>
    </row>
    <row r="107" spans="1:50" ht="15.75" customHeigh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2"/>
      <c r="AP107" s="7"/>
      <c r="AQ107" s="7"/>
      <c r="AR107" s="7"/>
      <c r="AS107" s="7"/>
      <c r="AT107" s="7"/>
      <c r="AU107" s="7"/>
      <c r="AV107" s="7"/>
      <c r="AW107" s="7"/>
      <c r="AX107" s="7"/>
    </row>
    <row r="108" spans="1:50" ht="15.75" customHeigh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2"/>
      <c r="AP108" s="7"/>
      <c r="AQ108" s="7"/>
      <c r="AR108" s="7"/>
      <c r="AS108" s="7"/>
      <c r="AT108" s="7"/>
      <c r="AU108" s="7"/>
      <c r="AV108" s="7"/>
      <c r="AW108" s="7"/>
      <c r="AX108" s="7"/>
    </row>
    <row r="109" spans="1:50" ht="15.75" customHeigh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2"/>
      <c r="AP109" s="7"/>
      <c r="AQ109" s="7"/>
      <c r="AR109" s="7"/>
      <c r="AS109" s="7"/>
      <c r="AT109" s="7"/>
      <c r="AU109" s="7"/>
      <c r="AV109" s="7"/>
      <c r="AW109" s="7"/>
      <c r="AX109" s="7"/>
    </row>
    <row r="110" spans="1:50" ht="15.75" customHeigh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2"/>
      <c r="AP110" s="7"/>
      <c r="AQ110" s="7"/>
      <c r="AR110" s="7"/>
      <c r="AS110" s="7"/>
      <c r="AT110" s="7"/>
      <c r="AU110" s="7"/>
      <c r="AV110" s="7"/>
      <c r="AW110" s="7"/>
      <c r="AX110" s="7"/>
    </row>
    <row r="111" spans="1:50" ht="15.75" customHeigh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2"/>
      <c r="AP111" s="7"/>
      <c r="AQ111" s="7"/>
      <c r="AR111" s="7"/>
      <c r="AS111" s="7"/>
      <c r="AT111" s="7"/>
      <c r="AU111" s="7"/>
      <c r="AV111" s="7"/>
      <c r="AW111" s="7"/>
      <c r="AX111" s="7"/>
    </row>
    <row r="112" spans="1:50" ht="15.75" customHeigh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2"/>
      <c r="AP112" s="7"/>
      <c r="AQ112" s="7"/>
      <c r="AR112" s="7"/>
      <c r="AS112" s="7"/>
      <c r="AT112" s="7"/>
      <c r="AU112" s="7"/>
      <c r="AV112" s="7"/>
      <c r="AW112" s="7"/>
      <c r="AX112" s="7"/>
    </row>
    <row r="113" spans="1:50" ht="15.75" customHeigh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2"/>
      <c r="AP113" s="7"/>
      <c r="AQ113" s="7"/>
      <c r="AR113" s="7"/>
      <c r="AS113" s="7"/>
      <c r="AT113" s="7"/>
      <c r="AU113" s="7"/>
      <c r="AV113" s="7"/>
      <c r="AW113" s="7"/>
      <c r="AX113" s="7"/>
    </row>
    <row r="114" spans="1:50" ht="15.75" customHeigh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2"/>
      <c r="AP114" s="7"/>
      <c r="AQ114" s="7"/>
      <c r="AR114" s="7"/>
      <c r="AS114" s="7"/>
      <c r="AT114" s="7"/>
      <c r="AU114" s="7"/>
      <c r="AV114" s="7"/>
      <c r="AW114" s="7"/>
      <c r="AX114" s="7"/>
    </row>
    <row r="115" spans="1:50" ht="15.75" customHeigh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2"/>
      <c r="AP115" s="7"/>
      <c r="AQ115" s="7"/>
      <c r="AR115" s="7"/>
      <c r="AS115" s="7"/>
      <c r="AT115" s="7"/>
      <c r="AU115" s="7"/>
      <c r="AV115" s="7"/>
      <c r="AW115" s="7"/>
      <c r="AX115" s="7"/>
    </row>
    <row r="116" spans="1:50" ht="15.75" customHeigh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2"/>
      <c r="AP116" s="7"/>
      <c r="AQ116" s="7"/>
      <c r="AR116" s="7"/>
      <c r="AS116" s="7"/>
      <c r="AT116" s="7"/>
      <c r="AU116" s="7"/>
      <c r="AV116" s="7"/>
      <c r="AW116" s="7"/>
      <c r="AX116" s="7"/>
    </row>
    <row r="117" spans="1:50" ht="15.75" customHeigh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2"/>
      <c r="AP117" s="7"/>
      <c r="AQ117" s="7"/>
      <c r="AR117" s="7"/>
      <c r="AS117" s="7"/>
      <c r="AT117" s="7"/>
      <c r="AU117" s="7"/>
      <c r="AV117" s="7"/>
      <c r="AW117" s="7"/>
      <c r="AX117" s="7"/>
    </row>
    <row r="118" spans="1:50" ht="15.75" customHeigh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2"/>
      <c r="AP118" s="7"/>
      <c r="AQ118" s="7"/>
      <c r="AR118" s="7"/>
      <c r="AS118" s="7"/>
      <c r="AT118" s="7"/>
      <c r="AU118" s="7"/>
      <c r="AV118" s="7"/>
      <c r="AW118" s="7"/>
      <c r="AX118" s="7"/>
    </row>
    <row r="119" spans="1:50" ht="15.75" customHeigh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2"/>
      <c r="AP119" s="7"/>
      <c r="AQ119" s="7"/>
      <c r="AR119" s="7"/>
      <c r="AS119" s="7"/>
      <c r="AT119" s="7"/>
      <c r="AU119" s="7"/>
      <c r="AV119" s="7"/>
      <c r="AW119" s="7"/>
      <c r="AX119" s="7"/>
    </row>
    <row r="120" spans="1:50" ht="15.75" customHeigh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2"/>
      <c r="AP120" s="7"/>
      <c r="AQ120" s="7"/>
      <c r="AR120" s="7"/>
      <c r="AS120" s="7"/>
      <c r="AT120" s="7"/>
      <c r="AU120" s="7"/>
      <c r="AV120" s="7"/>
      <c r="AW120" s="7"/>
      <c r="AX120" s="7"/>
    </row>
    <row r="121" spans="1:50" ht="15.75" customHeigh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2"/>
      <c r="AP121" s="7"/>
      <c r="AQ121" s="7"/>
      <c r="AR121" s="7"/>
      <c r="AS121" s="7"/>
      <c r="AT121" s="7"/>
      <c r="AU121" s="7"/>
      <c r="AV121" s="7"/>
      <c r="AW121" s="7"/>
      <c r="AX121" s="7"/>
    </row>
    <row r="122" spans="1:50" ht="15.75" customHeigh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2"/>
      <c r="AP122" s="7"/>
      <c r="AQ122" s="7"/>
      <c r="AR122" s="7"/>
      <c r="AS122" s="7"/>
      <c r="AT122" s="7"/>
      <c r="AU122" s="7"/>
      <c r="AV122" s="7"/>
      <c r="AW122" s="7"/>
      <c r="AX122" s="7"/>
    </row>
    <row r="123" spans="1:50" ht="15.75" customHeigh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2"/>
      <c r="AP123" s="7"/>
      <c r="AQ123" s="7"/>
      <c r="AR123" s="7"/>
      <c r="AS123" s="7"/>
      <c r="AT123" s="7"/>
      <c r="AU123" s="7"/>
      <c r="AV123" s="7"/>
      <c r="AW123" s="7"/>
      <c r="AX123" s="7"/>
    </row>
    <row r="124" spans="1:50" ht="15.75" customHeigh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2"/>
      <c r="AP124" s="7"/>
      <c r="AQ124" s="7"/>
      <c r="AR124" s="7"/>
      <c r="AS124" s="7"/>
      <c r="AT124" s="7"/>
      <c r="AU124" s="7"/>
      <c r="AV124" s="7"/>
      <c r="AW124" s="7"/>
      <c r="AX124" s="7"/>
    </row>
    <row r="125" spans="1:50" ht="15.75" customHeigh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2"/>
      <c r="AP125" s="7"/>
      <c r="AQ125" s="7"/>
      <c r="AR125" s="7"/>
      <c r="AS125" s="7"/>
      <c r="AT125" s="7"/>
      <c r="AU125" s="7"/>
      <c r="AV125" s="7"/>
      <c r="AW125" s="7"/>
      <c r="AX125" s="7"/>
    </row>
    <row r="126" spans="1:50" ht="15.75" customHeigh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2"/>
      <c r="AP126" s="7"/>
      <c r="AQ126" s="7"/>
      <c r="AR126" s="7"/>
      <c r="AS126" s="7"/>
      <c r="AT126" s="7"/>
      <c r="AU126" s="7"/>
      <c r="AV126" s="7"/>
      <c r="AW126" s="7"/>
      <c r="AX126" s="7"/>
    </row>
    <row r="127" spans="1:50" ht="15.75" customHeigh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2"/>
      <c r="AP127" s="7"/>
      <c r="AQ127" s="7"/>
      <c r="AR127" s="7"/>
      <c r="AS127" s="7"/>
      <c r="AT127" s="7"/>
      <c r="AU127" s="7"/>
      <c r="AV127" s="7"/>
      <c r="AW127" s="7"/>
      <c r="AX127" s="7"/>
    </row>
    <row r="128" spans="1:50" ht="15.75" customHeigh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2"/>
      <c r="AP128" s="7"/>
      <c r="AQ128" s="7"/>
      <c r="AR128" s="7"/>
      <c r="AS128" s="7"/>
      <c r="AT128" s="7"/>
      <c r="AU128" s="7"/>
      <c r="AV128" s="7"/>
      <c r="AW128" s="7"/>
      <c r="AX128" s="7"/>
    </row>
    <row r="129" spans="1:50" ht="15.75" customHeigh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2"/>
      <c r="AP129" s="7"/>
      <c r="AQ129" s="7"/>
      <c r="AR129" s="7"/>
      <c r="AS129" s="7"/>
      <c r="AT129" s="7"/>
      <c r="AU129" s="7"/>
      <c r="AV129" s="7"/>
      <c r="AW129" s="7"/>
      <c r="AX129" s="7"/>
    </row>
    <row r="130" spans="1:50" ht="15.75" customHeigh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2"/>
      <c r="AP130" s="7"/>
      <c r="AQ130" s="7"/>
      <c r="AR130" s="7"/>
      <c r="AS130" s="7"/>
      <c r="AT130" s="7"/>
      <c r="AU130" s="7"/>
      <c r="AV130" s="7"/>
      <c r="AW130" s="7"/>
      <c r="AX130" s="7"/>
    </row>
    <row r="131" spans="1:50" ht="15.75" customHeigh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2"/>
      <c r="AP131" s="7"/>
      <c r="AQ131" s="7"/>
      <c r="AR131" s="7"/>
      <c r="AS131" s="7"/>
      <c r="AT131" s="7"/>
      <c r="AU131" s="7"/>
      <c r="AV131" s="7"/>
      <c r="AW131" s="7"/>
      <c r="AX131" s="7"/>
    </row>
    <row r="132" spans="1:50" ht="15.75" customHeigh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2"/>
      <c r="AP132" s="7"/>
      <c r="AQ132" s="7"/>
      <c r="AR132" s="7"/>
      <c r="AS132" s="7"/>
      <c r="AT132" s="7"/>
      <c r="AU132" s="7"/>
      <c r="AV132" s="7"/>
      <c r="AW132" s="7"/>
      <c r="AX132" s="7"/>
    </row>
    <row r="133" spans="1:50" ht="15.75" customHeigh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2"/>
      <c r="AP133" s="7"/>
      <c r="AQ133" s="7"/>
      <c r="AR133" s="7"/>
      <c r="AS133" s="7"/>
      <c r="AT133" s="7"/>
      <c r="AU133" s="7"/>
      <c r="AV133" s="7"/>
      <c r="AW133" s="7"/>
      <c r="AX133" s="7"/>
    </row>
    <row r="134" spans="1:50" ht="15.75" customHeigh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2"/>
      <c r="AP134" s="7"/>
      <c r="AQ134" s="7"/>
      <c r="AR134" s="7"/>
      <c r="AS134" s="7"/>
      <c r="AT134" s="7"/>
      <c r="AU134" s="7"/>
      <c r="AV134" s="7"/>
      <c r="AW134" s="7"/>
      <c r="AX134" s="7"/>
    </row>
    <row r="135" spans="1:50" ht="15.75" customHeigh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2"/>
      <c r="AP135" s="7"/>
      <c r="AQ135" s="7"/>
      <c r="AR135" s="7"/>
      <c r="AS135" s="7"/>
      <c r="AT135" s="7"/>
      <c r="AU135" s="7"/>
      <c r="AV135" s="7"/>
      <c r="AW135" s="7"/>
      <c r="AX135" s="7"/>
    </row>
    <row r="136" spans="1:50" ht="15.75" customHeigh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2"/>
      <c r="AP136" s="7"/>
      <c r="AQ136" s="7"/>
      <c r="AR136" s="7"/>
      <c r="AS136" s="7"/>
      <c r="AT136" s="7"/>
      <c r="AU136" s="7"/>
      <c r="AV136" s="7"/>
      <c r="AW136" s="7"/>
      <c r="AX136" s="7"/>
    </row>
    <row r="137" spans="1:50" ht="15.75" customHeigh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2"/>
      <c r="AP137" s="7"/>
      <c r="AQ137" s="7"/>
      <c r="AR137" s="7"/>
      <c r="AS137" s="7"/>
      <c r="AT137" s="7"/>
      <c r="AU137" s="7"/>
      <c r="AV137" s="7"/>
      <c r="AW137" s="7"/>
      <c r="AX137" s="7"/>
    </row>
    <row r="138" spans="1:50" ht="15.75" customHeigh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2"/>
      <c r="AP138" s="7"/>
      <c r="AQ138" s="7"/>
      <c r="AR138" s="7"/>
      <c r="AS138" s="7"/>
      <c r="AT138" s="7"/>
      <c r="AU138" s="7"/>
      <c r="AV138" s="7"/>
      <c r="AW138" s="7"/>
      <c r="AX138" s="7"/>
    </row>
    <row r="139" spans="1:50" ht="15.75" customHeigh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2"/>
      <c r="AP139" s="7"/>
      <c r="AQ139" s="7"/>
      <c r="AR139" s="7"/>
      <c r="AS139" s="7"/>
      <c r="AT139" s="7"/>
      <c r="AU139" s="7"/>
      <c r="AV139" s="7"/>
      <c r="AW139" s="7"/>
      <c r="AX139" s="7"/>
    </row>
    <row r="140" spans="1:50" ht="15.75" customHeigh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2"/>
      <c r="AP140" s="7"/>
      <c r="AQ140" s="7"/>
      <c r="AR140" s="7"/>
      <c r="AS140" s="7"/>
      <c r="AT140" s="7"/>
      <c r="AU140" s="7"/>
      <c r="AV140" s="7"/>
      <c r="AW140" s="7"/>
      <c r="AX140" s="7"/>
    </row>
    <row r="141" spans="1:50" ht="15.75" customHeigh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2"/>
      <c r="AP141" s="7"/>
      <c r="AQ141" s="7"/>
      <c r="AR141" s="7"/>
      <c r="AS141" s="7"/>
      <c r="AT141" s="7"/>
      <c r="AU141" s="7"/>
      <c r="AV141" s="7"/>
      <c r="AW141" s="7"/>
      <c r="AX141" s="7"/>
    </row>
    <row r="142" spans="1:50" ht="15.75" customHeigh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2"/>
      <c r="AP142" s="7"/>
      <c r="AQ142" s="7"/>
      <c r="AR142" s="7"/>
      <c r="AS142" s="7"/>
      <c r="AT142" s="7"/>
      <c r="AU142" s="7"/>
      <c r="AV142" s="7"/>
      <c r="AW142" s="7"/>
      <c r="AX142" s="7"/>
    </row>
    <row r="143" spans="1:50" ht="15.75" customHeigh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2"/>
      <c r="AP143" s="7"/>
      <c r="AQ143" s="7"/>
      <c r="AR143" s="7"/>
      <c r="AS143" s="7"/>
      <c r="AT143" s="7"/>
      <c r="AU143" s="7"/>
      <c r="AV143" s="7"/>
      <c r="AW143" s="7"/>
      <c r="AX143" s="7"/>
    </row>
    <row r="144" spans="1:50" ht="15.75" customHeigh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2"/>
      <c r="AP144" s="7"/>
      <c r="AQ144" s="7"/>
      <c r="AR144" s="7"/>
      <c r="AS144" s="7"/>
      <c r="AT144" s="7"/>
      <c r="AU144" s="7"/>
      <c r="AV144" s="7"/>
      <c r="AW144" s="7"/>
      <c r="AX144" s="7"/>
    </row>
    <row r="145" spans="1:50" ht="15.75" customHeigh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2"/>
      <c r="AP145" s="7"/>
      <c r="AQ145" s="7"/>
      <c r="AR145" s="7"/>
      <c r="AS145" s="7"/>
      <c r="AT145" s="7"/>
      <c r="AU145" s="7"/>
      <c r="AV145" s="7"/>
      <c r="AW145" s="7"/>
      <c r="AX145" s="7"/>
    </row>
    <row r="146" spans="1:50" ht="15.75" customHeigh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2"/>
      <c r="AP146" s="7"/>
      <c r="AQ146" s="7"/>
      <c r="AR146" s="7"/>
      <c r="AS146" s="7"/>
      <c r="AT146" s="7"/>
      <c r="AU146" s="7"/>
      <c r="AV146" s="7"/>
      <c r="AW146" s="7"/>
      <c r="AX146" s="7"/>
    </row>
    <row r="147" spans="1:50" ht="15.75" customHeigh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2"/>
      <c r="AP147" s="7"/>
      <c r="AQ147" s="7"/>
      <c r="AR147" s="7"/>
      <c r="AS147" s="7"/>
      <c r="AT147" s="7"/>
      <c r="AU147" s="7"/>
      <c r="AV147" s="7"/>
      <c r="AW147" s="7"/>
      <c r="AX147" s="7"/>
    </row>
    <row r="148" spans="1:50" ht="15.75" customHeigh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2"/>
      <c r="AP148" s="7"/>
      <c r="AQ148" s="7"/>
      <c r="AR148" s="7"/>
      <c r="AS148" s="7"/>
      <c r="AT148" s="7"/>
      <c r="AU148" s="7"/>
      <c r="AV148" s="7"/>
      <c r="AW148" s="7"/>
      <c r="AX148" s="7"/>
    </row>
    <row r="149" spans="1:50" ht="15.75" customHeigh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2"/>
      <c r="AP149" s="7"/>
      <c r="AQ149" s="7"/>
      <c r="AR149" s="7"/>
      <c r="AS149" s="7"/>
      <c r="AT149" s="7"/>
      <c r="AU149" s="7"/>
      <c r="AV149" s="7"/>
      <c r="AW149" s="7"/>
      <c r="AX149" s="7"/>
    </row>
    <row r="150" spans="1:50" ht="15.75" customHeigh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2"/>
      <c r="AP150" s="7"/>
      <c r="AQ150" s="7"/>
      <c r="AR150" s="7"/>
      <c r="AS150" s="7"/>
      <c r="AT150" s="7"/>
      <c r="AU150" s="7"/>
      <c r="AV150" s="7"/>
      <c r="AW150" s="7"/>
      <c r="AX150" s="7"/>
    </row>
    <row r="151" spans="1:50" ht="15.75" customHeigh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2"/>
      <c r="AP151" s="7"/>
      <c r="AQ151" s="7"/>
      <c r="AR151" s="7"/>
      <c r="AS151" s="7"/>
      <c r="AT151" s="7"/>
      <c r="AU151" s="7"/>
      <c r="AV151" s="7"/>
      <c r="AW151" s="7"/>
      <c r="AX151" s="7"/>
    </row>
    <row r="152" spans="1:50" ht="15.75" customHeigh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2"/>
      <c r="AP152" s="7"/>
      <c r="AQ152" s="7"/>
      <c r="AR152" s="7"/>
      <c r="AS152" s="7"/>
      <c r="AT152" s="7"/>
      <c r="AU152" s="7"/>
      <c r="AV152" s="7"/>
      <c r="AW152" s="7"/>
      <c r="AX152" s="7"/>
    </row>
    <row r="153" spans="1:50" ht="15.75" customHeigh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2"/>
      <c r="AP153" s="7"/>
      <c r="AQ153" s="7"/>
      <c r="AR153" s="7"/>
      <c r="AS153" s="7"/>
      <c r="AT153" s="7"/>
      <c r="AU153" s="7"/>
      <c r="AV153" s="7"/>
      <c r="AW153" s="7"/>
      <c r="AX153" s="7"/>
    </row>
    <row r="154" spans="1:50" ht="15.75" customHeigh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2"/>
      <c r="AP154" s="7"/>
      <c r="AQ154" s="7"/>
      <c r="AR154" s="7"/>
      <c r="AS154" s="7"/>
      <c r="AT154" s="7"/>
      <c r="AU154" s="7"/>
      <c r="AV154" s="7"/>
      <c r="AW154" s="7"/>
      <c r="AX154" s="7"/>
    </row>
    <row r="155" spans="1:50" ht="15.75" customHeigh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2"/>
      <c r="AP155" s="7"/>
      <c r="AQ155" s="7"/>
      <c r="AR155" s="7"/>
      <c r="AS155" s="7"/>
      <c r="AT155" s="7"/>
      <c r="AU155" s="7"/>
      <c r="AV155" s="7"/>
      <c r="AW155" s="7"/>
      <c r="AX155" s="7"/>
    </row>
    <row r="156" spans="1:50" ht="15.75" customHeigh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2"/>
      <c r="AP156" s="7"/>
      <c r="AQ156" s="7"/>
      <c r="AR156" s="7"/>
      <c r="AS156" s="7"/>
      <c r="AT156" s="7"/>
      <c r="AU156" s="7"/>
      <c r="AV156" s="7"/>
      <c r="AW156" s="7"/>
      <c r="AX156" s="7"/>
    </row>
    <row r="157" spans="1:50" ht="15.75" customHeigh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2"/>
      <c r="AP157" s="7"/>
      <c r="AQ157" s="7"/>
      <c r="AR157" s="7"/>
      <c r="AS157" s="7"/>
      <c r="AT157" s="7"/>
      <c r="AU157" s="7"/>
      <c r="AV157" s="7"/>
      <c r="AW157" s="7"/>
      <c r="AX157" s="7"/>
    </row>
    <row r="158" spans="1:50" ht="15.75" customHeigh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2"/>
      <c r="AP158" s="7"/>
      <c r="AQ158" s="7"/>
      <c r="AR158" s="7"/>
      <c r="AS158" s="7"/>
      <c r="AT158" s="7"/>
      <c r="AU158" s="7"/>
      <c r="AV158" s="7"/>
      <c r="AW158" s="7"/>
      <c r="AX158" s="7"/>
    </row>
    <row r="159" spans="1:50" ht="15.75" customHeigh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2"/>
      <c r="AP159" s="7"/>
      <c r="AQ159" s="7"/>
      <c r="AR159" s="7"/>
      <c r="AS159" s="7"/>
      <c r="AT159" s="7"/>
      <c r="AU159" s="7"/>
      <c r="AV159" s="7"/>
      <c r="AW159" s="7"/>
      <c r="AX159" s="7"/>
    </row>
    <row r="160" spans="1:50" ht="15.75" customHeigh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2"/>
      <c r="AP160" s="7"/>
      <c r="AQ160" s="7"/>
      <c r="AR160" s="7"/>
      <c r="AS160" s="7"/>
      <c r="AT160" s="7"/>
      <c r="AU160" s="7"/>
      <c r="AV160" s="7"/>
      <c r="AW160" s="7"/>
      <c r="AX160" s="7"/>
    </row>
    <row r="161" spans="1:50" ht="15.75" customHeigh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2"/>
      <c r="AP161" s="7"/>
      <c r="AQ161" s="7"/>
      <c r="AR161" s="7"/>
      <c r="AS161" s="7"/>
      <c r="AT161" s="7"/>
      <c r="AU161" s="7"/>
      <c r="AV161" s="7"/>
      <c r="AW161" s="7"/>
      <c r="AX161" s="7"/>
    </row>
    <row r="162" spans="1:50" ht="15.75" customHeigh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2"/>
      <c r="AP162" s="7"/>
      <c r="AQ162" s="7"/>
      <c r="AR162" s="7"/>
      <c r="AS162" s="7"/>
      <c r="AT162" s="7"/>
      <c r="AU162" s="7"/>
      <c r="AV162" s="7"/>
      <c r="AW162" s="7"/>
      <c r="AX162" s="7"/>
    </row>
    <row r="163" spans="1:50" ht="15.75" customHeigh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2"/>
      <c r="AP163" s="7"/>
      <c r="AQ163" s="7"/>
      <c r="AR163" s="7"/>
      <c r="AS163" s="7"/>
      <c r="AT163" s="7"/>
      <c r="AU163" s="7"/>
      <c r="AV163" s="7"/>
      <c r="AW163" s="7"/>
      <c r="AX163" s="7"/>
    </row>
    <row r="164" spans="1:50" ht="15.75" customHeigh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2"/>
      <c r="AP164" s="7"/>
      <c r="AQ164" s="7"/>
      <c r="AR164" s="7"/>
      <c r="AS164" s="7"/>
      <c r="AT164" s="7"/>
      <c r="AU164" s="7"/>
      <c r="AV164" s="7"/>
      <c r="AW164" s="7"/>
      <c r="AX164" s="7"/>
    </row>
    <row r="165" spans="1:50" ht="15.75" customHeigh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2"/>
      <c r="AP165" s="7"/>
      <c r="AQ165" s="7"/>
      <c r="AR165" s="7"/>
      <c r="AS165" s="7"/>
      <c r="AT165" s="7"/>
      <c r="AU165" s="7"/>
      <c r="AV165" s="7"/>
      <c r="AW165" s="7"/>
      <c r="AX165" s="7"/>
    </row>
    <row r="166" spans="1:50" ht="15.75" customHeigh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2"/>
      <c r="AP166" s="7"/>
      <c r="AQ166" s="7"/>
      <c r="AR166" s="7"/>
      <c r="AS166" s="7"/>
      <c r="AT166" s="7"/>
      <c r="AU166" s="7"/>
      <c r="AV166" s="7"/>
      <c r="AW166" s="7"/>
      <c r="AX166" s="7"/>
    </row>
    <row r="167" spans="1:50" ht="15.75" customHeigh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2"/>
      <c r="AP167" s="7"/>
      <c r="AQ167" s="7"/>
      <c r="AR167" s="7"/>
      <c r="AS167" s="7"/>
      <c r="AT167" s="7"/>
      <c r="AU167" s="7"/>
      <c r="AV167" s="7"/>
      <c r="AW167" s="7"/>
      <c r="AX167" s="7"/>
    </row>
    <row r="168" spans="1:50" ht="15.75" customHeigh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2"/>
      <c r="AP168" s="7"/>
      <c r="AQ168" s="7"/>
      <c r="AR168" s="7"/>
      <c r="AS168" s="7"/>
      <c r="AT168" s="7"/>
      <c r="AU168" s="7"/>
      <c r="AV168" s="7"/>
      <c r="AW168" s="7"/>
      <c r="AX168" s="7"/>
    </row>
    <row r="169" spans="1:50" ht="15.75" customHeigh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2"/>
      <c r="AP169" s="7"/>
      <c r="AQ169" s="7"/>
      <c r="AR169" s="7"/>
      <c r="AS169" s="7"/>
      <c r="AT169" s="7"/>
      <c r="AU169" s="7"/>
      <c r="AV169" s="7"/>
      <c r="AW169" s="7"/>
      <c r="AX169" s="7"/>
    </row>
    <row r="170" spans="1:50" ht="15.75" customHeigh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2"/>
      <c r="AP170" s="7"/>
      <c r="AQ170" s="7"/>
      <c r="AR170" s="7"/>
      <c r="AS170" s="7"/>
      <c r="AT170" s="7"/>
      <c r="AU170" s="7"/>
      <c r="AV170" s="7"/>
      <c r="AW170" s="7"/>
      <c r="AX170" s="7"/>
    </row>
    <row r="171" spans="1:50" ht="15.75" customHeigh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2"/>
      <c r="AP171" s="7"/>
      <c r="AQ171" s="7"/>
      <c r="AR171" s="7"/>
      <c r="AS171" s="7"/>
      <c r="AT171" s="7"/>
      <c r="AU171" s="7"/>
      <c r="AV171" s="7"/>
      <c r="AW171" s="7"/>
      <c r="AX171" s="7"/>
    </row>
    <row r="172" spans="1:50" ht="15.75" customHeigh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2"/>
      <c r="AP172" s="7"/>
      <c r="AQ172" s="7"/>
      <c r="AR172" s="7"/>
      <c r="AS172" s="7"/>
      <c r="AT172" s="7"/>
      <c r="AU172" s="7"/>
      <c r="AV172" s="7"/>
      <c r="AW172" s="7"/>
      <c r="AX172" s="7"/>
    </row>
    <row r="173" spans="1:50" ht="15.75" customHeigh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2"/>
      <c r="AP173" s="7"/>
      <c r="AQ173" s="7"/>
      <c r="AR173" s="7"/>
      <c r="AS173" s="7"/>
      <c r="AT173" s="7"/>
      <c r="AU173" s="7"/>
      <c r="AV173" s="7"/>
      <c r="AW173" s="7"/>
      <c r="AX173" s="7"/>
    </row>
    <row r="174" spans="1:50" ht="15.75" customHeigh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2"/>
      <c r="AP174" s="7"/>
      <c r="AQ174" s="7"/>
      <c r="AR174" s="7"/>
      <c r="AS174" s="7"/>
      <c r="AT174" s="7"/>
      <c r="AU174" s="7"/>
      <c r="AV174" s="7"/>
      <c r="AW174" s="7"/>
      <c r="AX174" s="7"/>
    </row>
    <row r="175" spans="1:50" ht="15.75" customHeigh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2"/>
      <c r="AP175" s="7"/>
      <c r="AQ175" s="7"/>
      <c r="AR175" s="7"/>
      <c r="AS175" s="7"/>
      <c r="AT175" s="7"/>
      <c r="AU175" s="7"/>
      <c r="AV175" s="7"/>
      <c r="AW175" s="7"/>
      <c r="AX175" s="7"/>
    </row>
    <row r="176" spans="1:50" ht="15.75" customHeigh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2"/>
      <c r="AP176" s="7"/>
      <c r="AQ176" s="7"/>
      <c r="AR176" s="7"/>
      <c r="AS176" s="7"/>
      <c r="AT176" s="7"/>
      <c r="AU176" s="7"/>
      <c r="AV176" s="7"/>
      <c r="AW176" s="7"/>
      <c r="AX176" s="7"/>
    </row>
    <row r="177" spans="1:50" ht="15.75" customHeigh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2"/>
      <c r="AP177" s="7"/>
      <c r="AQ177" s="7"/>
      <c r="AR177" s="7"/>
      <c r="AS177" s="7"/>
      <c r="AT177" s="7"/>
      <c r="AU177" s="7"/>
      <c r="AV177" s="7"/>
      <c r="AW177" s="7"/>
      <c r="AX177" s="7"/>
    </row>
    <row r="178" spans="1:50" ht="15.75" customHeigh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2"/>
      <c r="AP178" s="7"/>
      <c r="AQ178" s="7"/>
      <c r="AR178" s="7"/>
      <c r="AS178" s="7"/>
      <c r="AT178" s="7"/>
      <c r="AU178" s="7"/>
      <c r="AV178" s="7"/>
      <c r="AW178" s="7"/>
      <c r="AX178" s="7"/>
    </row>
    <row r="179" spans="1:50" ht="15.75" customHeigh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2"/>
      <c r="AP179" s="7"/>
      <c r="AQ179" s="7"/>
      <c r="AR179" s="7"/>
      <c r="AS179" s="7"/>
      <c r="AT179" s="7"/>
      <c r="AU179" s="7"/>
      <c r="AV179" s="7"/>
      <c r="AW179" s="7"/>
      <c r="AX179" s="7"/>
    </row>
    <row r="180" spans="1:50" ht="15.75" customHeigh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2"/>
      <c r="AP180" s="7"/>
      <c r="AQ180" s="7"/>
      <c r="AR180" s="7"/>
      <c r="AS180" s="7"/>
      <c r="AT180" s="7"/>
      <c r="AU180" s="7"/>
      <c r="AV180" s="7"/>
      <c r="AW180" s="7"/>
      <c r="AX180" s="7"/>
    </row>
    <row r="181" spans="1:50" ht="15.75" customHeigh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2"/>
      <c r="AP181" s="7"/>
      <c r="AQ181" s="7"/>
      <c r="AR181" s="7"/>
      <c r="AS181" s="7"/>
      <c r="AT181" s="7"/>
      <c r="AU181" s="7"/>
      <c r="AV181" s="7"/>
      <c r="AW181" s="7"/>
      <c r="AX181" s="7"/>
    </row>
    <row r="182" spans="1:50" ht="15.75" customHeigh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2"/>
      <c r="AP182" s="7"/>
      <c r="AQ182" s="7"/>
      <c r="AR182" s="7"/>
      <c r="AS182" s="7"/>
      <c r="AT182" s="7"/>
      <c r="AU182" s="7"/>
      <c r="AV182" s="7"/>
      <c r="AW182" s="7"/>
      <c r="AX182" s="7"/>
    </row>
    <row r="183" spans="1:50" ht="15.75" customHeigh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2"/>
      <c r="AP183" s="7"/>
      <c r="AQ183" s="7"/>
      <c r="AR183" s="7"/>
      <c r="AS183" s="7"/>
      <c r="AT183" s="7"/>
      <c r="AU183" s="7"/>
      <c r="AV183" s="7"/>
      <c r="AW183" s="7"/>
      <c r="AX183" s="7"/>
    </row>
    <row r="184" spans="1:50" ht="15.75" customHeigh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2"/>
      <c r="AP184" s="7"/>
      <c r="AQ184" s="7"/>
      <c r="AR184" s="7"/>
      <c r="AS184" s="7"/>
      <c r="AT184" s="7"/>
      <c r="AU184" s="7"/>
      <c r="AV184" s="7"/>
      <c r="AW184" s="7"/>
      <c r="AX184" s="7"/>
    </row>
    <row r="185" spans="1:50" ht="15.75" customHeigh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2"/>
      <c r="AP185" s="7"/>
      <c r="AQ185" s="7"/>
      <c r="AR185" s="7"/>
      <c r="AS185" s="7"/>
      <c r="AT185" s="7"/>
      <c r="AU185" s="7"/>
      <c r="AV185" s="7"/>
      <c r="AW185" s="7"/>
      <c r="AX185" s="7"/>
    </row>
    <row r="186" spans="1:50" ht="15.75" customHeigh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2"/>
      <c r="AP186" s="7"/>
      <c r="AQ186" s="7"/>
      <c r="AR186" s="7"/>
      <c r="AS186" s="7"/>
      <c r="AT186" s="7"/>
      <c r="AU186" s="7"/>
      <c r="AV186" s="7"/>
      <c r="AW186" s="7"/>
      <c r="AX186" s="7"/>
    </row>
    <row r="187" spans="1:50" ht="15.75" customHeigh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2"/>
      <c r="AP187" s="7"/>
      <c r="AQ187" s="7"/>
      <c r="AR187" s="7"/>
      <c r="AS187" s="7"/>
      <c r="AT187" s="7"/>
      <c r="AU187" s="7"/>
      <c r="AV187" s="7"/>
      <c r="AW187" s="7"/>
      <c r="AX187" s="7"/>
    </row>
    <row r="188" spans="1:50" ht="15.75" customHeigh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2"/>
      <c r="AP188" s="7"/>
      <c r="AQ188" s="7"/>
      <c r="AR188" s="7"/>
      <c r="AS188" s="7"/>
      <c r="AT188" s="7"/>
      <c r="AU188" s="7"/>
      <c r="AV188" s="7"/>
      <c r="AW188" s="7"/>
      <c r="AX188" s="7"/>
    </row>
    <row r="189" spans="1:50" ht="15.75" customHeigh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2"/>
      <c r="AP189" s="7"/>
      <c r="AQ189" s="7"/>
      <c r="AR189" s="7"/>
      <c r="AS189" s="7"/>
      <c r="AT189" s="7"/>
      <c r="AU189" s="7"/>
      <c r="AV189" s="7"/>
      <c r="AW189" s="7"/>
      <c r="AX189" s="7"/>
    </row>
    <row r="190" spans="1:50" ht="15.75" customHeigh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2"/>
      <c r="AP190" s="7"/>
      <c r="AQ190" s="7"/>
      <c r="AR190" s="7"/>
      <c r="AS190" s="7"/>
      <c r="AT190" s="7"/>
      <c r="AU190" s="7"/>
      <c r="AV190" s="7"/>
      <c r="AW190" s="7"/>
      <c r="AX190" s="7"/>
    </row>
    <row r="191" spans="1:50" ht="15.75" customHeigh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2"/>
      <c r="AP191" s="7"/>
      <c r="AQ191" s="7"/>
      <c r="AR191" s="7"/>
      <c r="AS191" s="7"/>
      <c r="AT191" s="7"/>
      <c r="AU191" s="7"/>
      <c r="AV191" s="7"/>
      <c r="AW191" s="7"/>
      <c r="AX191" s="7"/>
    </row>
    <row r="192" spans="1:50" ht="15.75" customHeigh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2"/>
      <c r="AP192" s="7"/>
      <c r="AQ192" s="7"/>
      <c r="AR192" s="7"/>
      <c r="AS192" s="7"/>
      <c r="AT192" s="7"/>
      <c r="AU192" s="7"/>
      <c r="AV192" s="7"/>
      <c r="AW192" s="7"/>
      <c r="AX192" s="7"/>
    </row>
    <row r="193" spans="1:50" ht="15.75" customHeigh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2"/>
      <c r="AP193" s="7"/>
      <c r="AQ193" s="7"/>
      <c r="AR193" s="7"/>
      <c r="AS193" s="7"/>
      <c r="AT193" s="7"/>
      <c r="AU193" s="7"/>
      <c r="AV193" s="7"/>
      <c r="AW193" s="7"/>
      <c r="AX193" s="7"/>
    </row>
    <row r="194" spans="1:50" ht="15.75" customHeigh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2"/>
      <c r="AP194" s="7"/>
      <c r="AQ194" s="7"/>
      <c r="AR194" s="7"/>
      <c r="AS194" s="7"/>
      <c r="AT194" s="7"/>
      <c r="AU194" s="7"/>
      <c r="AV194" s="7"/>
      <c r="AW194" s="7"/>
      <c r="AX194" s="7"/>
    </row>
    <row r="195" spans="1:50" ht="15.75" customHeigh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2"/>
      <c r="AP195" s="7"/>
      <c r="AQ195" s="7"/>
      <c r="AR195" s="7"/>
      <c r="AS195" s="7"/>
      <c r="AT195" s="7"/>
      <c r="AU195" s="7"/>
      <c r="AV195" s="7"/>
      <c r="AW195" s="7"/>
      <c r="AX195" s="7"/>
    </row>
    <row r="196" spans="1:50" ht="15.75" customHeigh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2"/>
      <c r="AP196" s="7"/>
      <c r="AQ196" s="7"/>
      <c r="AR196" s="7"/>
      <c r="AS196" s="7"/>
      <c r="AT196" s="7"/>
      <c r="AU196" s="7"/>
      <c r="AV196" s="7"/>
      <c r="AW196" s="7"/>
      <c r="AX196" s="7"/>
    </row>
    <row r="197" spans="1:50" ht="15.75" customHeigh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2"/>
      <c r="AP197" s="7"/>
      <c r="AQ197" s="7"/>
      <c r="AR197" s="7"/>
      <c r="AS197" s="7"/>
      <c r="AT197" s="7"/>
      <c r="AU197" s="7"/>
      <c r="AV197" s="7"/>
      <c r="AW197" s="7"/>
      <c r="AX197" s="7"/>
    </row>
    <row r="198" spans="1:50" ht="15.75" customHeigh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2"/>
      <c r="AP198" s="7"/>
      <c r="AQ198" s="7"/>
      <c r="AR198" s="7"/>
      <c r="AS198" s="7"/>
      <c r="AT198" s="7"/>
      <c r="AU198" s="7"/>
      <c r="AV198" s="7"/>
      <c r="AW198" s="7"/>
      <c r="AX198" s="7"/>
    </row>
    <row r="199" spans="1:50" ht="15.75" customHeigh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2"/>
      <c r="AP199" s="7"/>
      <c r="AQ199" s="7"/>
      <c r="AR199" s="7"/>
      <c r="AS199" s="7"/>
      <c r="AT199" s="7"/>
      <c r="AU199" s="7"/>
      <c r="AV199" s="7"/>
      <c r="AW199" s="7"/>
      <c r="AX199" s="7"/>
    </row>
    <row r="200" spans="1:50" ht="15.75" customHeigh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2"/>
      <c r="AP200" s="7"/>
      <c r="AQ200" s="7"/>
      <c r="AR200" s="7"/>
      <c r="AS200" s="7"/>
      <c r="AT200" s="7"/>
      <c r="AU200" s="7"/>
      <c r="AV200" s="7"/>
      <c r="AW200" s="7"/>
      <c r="AX200" s="7"/>
    </row>
    <row r="201" spans="1:50" ht="15.75" customHeigh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2"/>
      <c r="AP201" s="7"/>
      <c r="AQ201" s="7"/>
      <c r="AR201" s="7"/>
      <c r="AS201" s="7"/>
      <c r="AT201" s="7"/>
      <c r="AU201" s="7"/>
      <c r="AV201" s="7"/>
      <c r="AW201" s="7"/>
      <c r="AX201" s="7"/>
    </row>
    <row r="202" spans="1:50" ht="15.75" customHeigh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2"/>
      <c r="AP202" s="7"/>
      <c r="AQ202" s="7"/>
      <c r="AR202" s="7"/>
      <c r="AS202" s="7"/>
      <c r="AT202" s="7"/>
      <c r="AU202" s="7"/>
      <c r="AV202" s="7"/>
      <c r="AW202" s="7"/>
      <c r="AX202" s="7"/>
    </row>
    <row r="203" spans="1:50" ht="15.75" customHeigh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2"/>
      <c r="AP203" s="7"/>
      <c r="AQ203" s="7"/>
      <c r="AR203" s="7"/>
      <c r="AS203" s="7"/>
      <c r="AT203" s="7"/>
      <c r="AU203" s="7"/>
      <c r="AV203" s="7"/>
      <c r="AW203" s="7"/>
      <c r="AX203" s="7"/>
    </row>
    <row r="204" spans="1:50" ht="15.75" customHeigh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2"/>
      <c r="AP204" s="7"/>
      <c r="AQ204" s="7"/>
      <c r="AR204" s="7"/>
      <c r="AS204" s="7"/>
      <c r="AT204" s="7"/>
      <c r="AU204" s="7"/>
      <c r="AV204" s="7"/>
      <c r="AW204" s="7"/>
      <c r="AX204" s="7"/>
    </row>
    <row r="205" spans="1:50" ht="15.75" customHeigh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2"/>
      <c r="AP205" s="7"/>
      <c r="AQ205" s="7"/>
      <c r="AR205" s="7"/>
      <c r="AS205" s="7"/>
      <c r="AT205" s="7"/>
      <c r="AU205" s="7"/>
      <c r="AV205" s="7"/>
      <c r="AW205" s="7"/>
      <c r="AX205" s="7"/>
    </row>
    <row r="206" spans="1:50" ht="15.75" customHeigh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2"/>
      <c r="AP206" s="7"/>
      <c r="AQ206" s="7"/>
      <c r="AR206" s="7"/>
      <c r="AS206" s="7"/>
      <c r="AT206" s="7"/>
      <c r="AU206" s="7"/>
      <c r="AV206" s="7"/>
      <c r="AW206" s="7"/>
      <c r="AX206" s="7"/>
    </row>
    <row r="207" spans="1:50" ht="15.75" customHeigh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2"/>
      <c r="AP207" s="7"/>
      <c r="AQ207" s="7"/>
      <c r="AR207" s="7"/>
      <c r="AS207" s="7"/>
      <c r="AT207" s="7"/>
      <c r="AU207" s="7"/>
      <c r="AV207" s="7"/>
      <c r="AW207" s="7"/>
      <c r="AX207" s="7"/>
    </row>
    <row r="208" spans="1:50" ht="15.75" customHeigh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2"/>
      <c r="AP208" s="7"/>
      <c r="AQ208" s="7"/>
      <c r="AR208" s="7"/>
      <c r="AS208" s="7"/>
      <c r="AT208" s="7"/>
      <c r="AU208" s="7"/>
      <c r="AV208" s="7"/>
      <c r="AW208" s="7"/>
      <c r="AX208" s="7"/>
    </row>
    <row r="209" spans="1:50" ht="15.75" customHeigh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2"/>
      <c r="AP209" s="7"/>
      <c r="AQ209" s="7"/>
      <c r="AR209" s="7"/>
      <c r="AS209" s="7"/>
      <c r="AT209" s="7"/>
      <c r="AU209" s="7"/>
      <c r="AV209" s="7"/>
      <c r="AW209" s="7"/>
      <c r="AX209" s="7"/>
    </row>
    <row r="210" spans="1:50" ht="15.75" customHeigh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2"/>
      <c r="AP210" s="7"/>
      <c r="AQ210" s="7"/>
      <c r="AR210" s="7"/>
      <c r="AS210" s="7"/>
      <c r="AT210" s="7"/>
      <c r="AU210" s="7"/>
      <c r="AV210" s="7"/>
      <c r="AW210" s="7"/>
      <c r="AX210" s="7"/>
    </row>
    <row r="211" spans="1:50" ht="15.75" customHeigh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2"/>
      <c r="AP211" s="7"/>
      <c r="AQ211" s="7"/>
      <c r="AR211" s="7"/>
      <c r="AS211" s="7"/>
      <c r="AT211" s="7"/>
      <c r="AU211" s="7"/>
      <c r="AV211" s="7"/>
      <c r="AW211" s="7"/>
      <c r="AX211" s="7"/>
    </row>
    <row r="212" spans="1:50" ht="15.75" customHeigh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2"/>
      <c r="AP212" s="7"/>
      <c r="AQ212" s="7"/>
      <c r="AR212" s="7"/>
      <c r="AS212" s="7"/>
      <c r="AT212" s="7"/>
      <c r="AU212" s="7"/>
      <c r="AV212" s="7"/>
      <c r="AW212" s="7"/>
      <c r="AX212" s="7"/>
    </row>
    <row r="213" spans="1:50" ht="15.75" customHeigh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2"/>
      <c r="AP213" s="7"/>
      <c r="AQ213" s="7"/>
      <c r="AR213" s="7"/>
      <c r="AS213" s="7"/>
      <c r="AT213" s="7"/>
      <c r="AU213" s="7"/>
      <c r="AV213" s="7"/>
      <c r="AW213" s="7"/>
      <c r="AX213" s="7"/>
    </row>
    <row r="214" spans="1:50" ht="15.75" customHeigh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2"/>
      <c r="AP214" s="7"/>
      <c r="AQ214" s="7"/>
      <c r="AR214" s="7"/>
      <c r="AS214" s="7"/>
      <c r="AT214" s="7"/>
      <c r="AU214" s="7"/>
      <c r="AV214" s="7"/>
      <c r="AW214" s="7"/>
      <c r="AX214" s="7"/>
    </row>
    <row r="215" spans="1:50" ht="15.75" customHeigh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2"/>
      <c r="AP215" s="7"/>
      <c r="AQ215" s="7"/>
      <c r="AR215" s="7"/>
      <c r="AS215" s="7"/>
      <c r="AT215" s="7"/>
      <c r="AU215" s="7"/>
      <c r="AV215" s="7"/>
      <c r="AW215" s="7"/>
      <c r="AX215" s="7"/>
    </row>
    <row r="216" spans="1:50" ht="15.75" customHeigh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2"/>
      <c r="AP216" s="7"/>
      <c r="AQ216" s="7"/>
      <c r="AR216" s="7"/>
      <c r="AS216" s="7"/>
      <c r="AT216" s="7"/>
      <c r="AU216" s="7"/>
      <c r="AV216" s="7"/>
      <c r="AW216" s="7"/>
      <c r="AX216" s="7"/>
    </row>
    <row r="217" spans="1:50" ht="15.75" customHeigh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2"/>
      <c r="AP217" s="7"/>
      <c r="AQ217" s="7"/>
      <c r="AR217" s="7"/>
      <c r="AS217" s="7"/>
      <c r="AT217" s="7"/>
      <c r="AU217" s="7"/>
      <c r="AV217" s="7"/>
      <c r="AW217" s="7"/>
      <c r="AX217" s="7"/>
    </row>
    <row r="218" spans="1:50" ht="15.75" customHeigh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2"/>
      <c r="AP218" s="7"/>
      <c r="AQ218" s="7"/>
      <c r="AR218" s="7"/>
      <c r="AS218" s="7"/>
      <c r="AT218" s="7"/>
      <c r="AU218" s="7"/>
      <c r="AV218" s="7"/>
      <c r="AW218" s="7"/>
      <c r="AX218" s="7"/>
    </row>
    <row r="219" spans="1:50" ht="15.75" customHeigh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2"/>
      <c r="AP219" s="7"/>
      <c r="AQ219" s="7"/>
      <c r="AR219" s="7"/>
      <c r="AS219" s="7"/>
      <c r="AT219" s="7"/>
      <c r="AU219" s="7"/>
      <c r="AV219" s="7"/>
      <c r="AW219" s="7"/>
      <c r="AX219" s="7"/>
    </row>
    <row r="220" spans="1:50" ht="15.75" customHeigh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2"/>
      <c r="AP220" s="7"/>
      <c r="AQ220" s="7"/>
      <c r="AR220" s="7"/>
      <c r="AS220" s="7"/>
      <c r="AT220" s="7"/>
      <c r="AU220" s="7"/>
      <c r="AV220" s="7"/>
      <c r="AW220" s="7"/>
      <c r="AX220" s="7"/>
    </row>
    <row r="221" spans="1:50" ht="15.75" customHeigh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2"/>
      <c r="AP221" s="7"/>
      <c r="AQ221" s="7"/>
      <c r="AR221" s="7"/>
      <c r="AS221" s="7"/>
      <c r="AT221" s="7"/>
      <c r="AU221" s="7"/>
      <c r="AV221" s="7"/>
      <c r="AW221" s="7"/>
      <c r="AX221" s="7"/>
    </row>
    <row r="222" spans="1:50" ht="15.75" customHeigh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2"/>
      <c r="AP222" s="7"/>
      <c r="AQ222" s="7"/>
      <c r="AR222" s="7"/>
      <c r="AS222" s="7"/>
      <c r="AT222" s="7"/>
      <c r="AU222" s="7"/>
      <c r="AV222" s="7"/>
      <c r="AW222" s="7"/>
      <c r="AX222" s="7"/>
    </row>
    <row r="223" spans="1:50" ht="15.75" customHeigh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2"/>
      <c r="AP223" s="7"/>
      <c r="AQ223" s="7"/>
      <c r="AR223" s="7"/>
      <c r="AS223" s="7"/>
      <c r="AT223" s="7"/>
      <c r="AU223" s="7"/>
      <c r="AV223" s="7"/>
      <c r="AW223" s="7"/>
      <c r="AX223" s="7"/>
    </row>
    <row r="224" spans="1:50" ht="15.75" customHeigh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2"/>
      <c r="AP224" s="7"/>
      <c r="AQ224" s="7"/>
      <c r="AR224" s="7"/>
      <c r="AS224" s="7"/>
      <c r="AT224" s="7"/>
      <c r="AU224" s="7"/>
      <c r="AV224" s="7"/>
      <c r="AW224" s="7"/>
      <c r="AX224" s="7"/>
    </row>
    <row r="225" spans="1:50" ht="15.75" customHeigh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2"/>
      <c r="AP225" s="7"/>
      <c r="AQ225" s="7"/>
      <c r="AR225" s="7"/>
      <c r="AS225" s="7"/>
      <c r="AT225" s="7"/>
      <c r="AU225" s="7"/>
      <c r="AV225" s="7"/>
      <c r="AW225" s="7"/>
      <c r="AX225" s="7"/>
    </row>
    <row r="226" spans="1:50" ht="15.75" customHeigh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2"/>
      <c r="AP226" s="7"/>
      <c r="AQ226" s="7"/>
      <c r="AR226" s="7"/>
      <c r="AS226" s="7"/>
      <c r="AT226" s="7"/>
      <c r="AU226" s="7"/>
      <c r="AV226" s="7"/>
      <c r="AW226" s="7"/>
      <c r="AX226" s="7"/>
    </row>
    <row r="227" spans="1:50" ht="15.75" customHeigh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2"/>
      <c r="AP227" s="7"/>
      <c r="AQ227" s="7"/>
      <c r="AR227" s="7"/>
      <c r="AS227" s="7"/>
      <c r="AT227" s="7"/>
      <c r="AU227" s="7"/>
      <c r="AV227" s="7"/>
      <c r="AW227" s="7"/>
      <c r="AX227" s="7"/>
    </row>
    <row r="228" spans="1:50" ht="15.75" customHeigh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2"/>
      <c r="AP228" s="7"/>
      <c r="AQ228" s="7"/>
      <c r="AR228" s="7"/>
      <c r="AS228" s="7"/>
      <c r="AT228" s="7"/>
      <c r="AU228" s="7"/>
      <c r="AV228" s="7"/>
      <c r="AW228" s="7"/>
      <c r="AX228" s="7"/>
    </row>
    <row r="229" spans="1:50" ht="15.75" customHeigh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2"/>
      <c r="AP229" s="7"/>
      <c r="AQ229" s="7"/>
      <c r="AR229" s="7"/>
      <c r="AS229" s="7"/>
      <c r="AT229" s="7"/>
      <c r="AU229" s="7"/>
      <c r="AV229" s="7"/>
      <c r="AW229" s="7"/>
      <c r="AX229" s="7"/>
    </row>
    <row r="230" spans="1:50" ht="15.75" customHeigh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2"/>
      <c r="AP230" s="7"/>
      <c r="AQ230" s="7"/>
      <c r="AR230" s="7"/>
      <c r="AS230" s="7"/>
      <c r="AT230" s="7"/>
      <c r="AU230" s="7"/>
      <c r="AV230" s="7"/>
      <c r="AW230" s="7"/>
      <c r="AX230" s="7"/>
    </row>
    <row r="231" spans="1:50" ht="15.75" customHeigh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2"/>
      <c r="AP231" s="7"/>
      <c r="AQ231" s="7"/>
      <c r="AR231" s="7"/>
      <c r="AS231" s="7"/>
      <c r="AT231" s="7"/>
      <c r="AU231" s="7"/>
      <c r="AV231" s="7"/>
      <c r="AW231" s="7"/>
      <c r="AX231" s="7"/>
    </row>
    <row r="232" spans="1:50" ht="15.75" customHeigh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2"/>
      <c r="AP232" s="7"/>
      <c r="AQ232" s="7"/>
      <c r="AR232" s="7"/>
      <c r="AS232" s="7"/>
      <c r="AT232" s="7"/>
      <c r="AU232" s="7"/>
      <c r="AV232" s="7"/>
      <c r="AW232" s="7"/>
      <c r="AX232" s="7"/>
    </row>
    <row r="233" spans="1:50" ht="15.75" customHeigh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2"/>
      <c r="AP233" s="7"/>
      <c r="AQ233" s="7"/>
      <c r="AR233" s="7"/>
      <c r="AS233" s="7"/>
      <c r="AT233" s="7"/>
      <c r="AU233" s="7"/>
      <c r="AV233" s="7"/>
      <c r="AW233" s="7"/>
      <c r="AX233" s="7"/>
    </row>
    <row r="234" spans="1:50" ht="15.75" customHeigh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2"/>
      <c r="AP234" s="7"/>
      <c r="AQ234" s="7"/>
      <c r="AR234" s="7"/>
      <c r="AS234" s="7"/>
      <c r="AT234" s="7"/>
      <c r="AU234" s="7"/>
      <c r="AV234" s="7"/>
      <c r="AW234" s="7"/>
      <c r="AX234" s="7"/>
    </row>
    <row r="235" spans="1:50" ht="15.75" customHeigh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2"/>
      <c r="AP235" s="7"/>
      <c r="AQ235" s="7"/>
      <c r="AR235" s="7"/>
      <c r="AS235" s="7"/>
      <c r="AT235" s="7"/>
      <c r="AU235" s="7"/>
      <c r="AV235" s="7"/>
      <c r="AW235" s="7"/>
      <c r="AX235" s="7"/>
    </row>
    <row r="236" spans="1:50" ht="15.75" customHeigh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2"/>
      <c r="AP236" s="7"/>
      <c r="AQ236" s="7"/>
      <c r="AR236" s="7"/>
      <c r="AS236" s="7"/>
      <c r="AT236" s="7"/>
      <c r="AU236" s="7"/>
      <c r="AV236" s="7"/>
      <c r="AW236" s="7"/>
      <c r="AX236" s="7"/>
    </row>
    <row r="237" spans="1:50" ht="15.75" customHeigh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2"/>
      <c r="AP237" s="7"/>
      <c r="AQ237" s="7"/>
      <c r="AR237" s="7"/>
      <c r="AS237" s="7"/>
      <c r="AT237" s="7"/>
      <c r="AU237" s="7"/>
      <c r="AV237" s="7"/>
      <c r="AW237" s="7"/>
      <c r="AX237" s="7"/>
    </row>
    <row r="238" spans="1:50" ht="15.75" customHeigh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2"/>
      <c r="AP238" s="7"/>
      <c r="AQ238" s="7"/>
      <c r="AR238" s="7"/>
      <c r="AS238" s="7"/>
      <c r="AT238" s="7"/>
      <c r="AU238" s="7"/>
      <c r="AV238" s="7"/>
      <c r="AW238" s="7"/>
      <c r="AX238" s="7"/>
    </row>
    <row r="239" spans="1:50" ht="15.75" customHeigh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2"/>
      <c r="AP239" s="7"/>
      <c r="AQ239" s="7"/>
      <c r="AR239" s="7"/>
      <c r="AS239" s="7"/>
      <c r="AT239" s="7"/>
      <c r="AU239" s="7"/>
      <c r="AV239" s="7"/>
      <c r="AW239" s="7"/>
      <c r="AX239" s="7"/>
    </row>
    <row r="240" spans="1:50" ht="15.75" customHeigh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2"/>
      <c r="AP240" s="7"/>
      <c r="AQ240" s="7"/>
      <c r="AR240" s="7"/>
      <c r="AS240" s="7"/>
      <c r="AT240" s="7"/>
      <c r="AU240" s="7"/>
      <c r="AV240" s="7"/>
      <c r="AW240" s="7"/>
      <c r="AX240" s="7"/>
    </row>
    <row r="241" spans="1:50" ht="15.75" customHeigh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2"/>
      <c r="AP241" s="7"/>
      <c r="AQ241" s="7"/>
      <c r="AR241" s="7"/>
      <c r="AS241" s="7"/>
      <c r="AT241" s="7"/>
      <c r="AU241" s="7"/>
      <c r="AV241" s="7"/>
      <c r="AW241" s="7"/>
      <c r="AX241" s="7"/>
    </row>
    <row r="242" spans="1:50" ht="15.75" customHeigh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2"/>
      <c r="AP242" s="7"/>
      <c r="AQ242" s="7"/>
      <c r="AR242" s="7"/>
      <c r="AS242" s="7"/>
      <c r="AT242" s="7"/>
      <c r="AU242" s="7"/>
      <c r="AV242" s="7"/>
      <c r="AW242" s="7"/>
      <c r="AX242" s="7"/>
    </row>
    <row r="243" spans="1:50" ht="15.75" customHeigh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2"/>
      <c r="AP243" s="7"/>
      <c r="AQ243" s="7"/>
      <c r="AR243" s="7"/>
      <c r="AS243" s="7"/>
      <c r="AT243" s="7"/>
      <c r="AU243" s="7"/>
      <c r="AV243" s="7"/>
      <c r="AW243" s="7"/>
      <c r="AX243" s="7"/>
    </row>
    <row r="244" spans="1:50" ht="15.75" customHeigh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2"/>
      <c r="AP244" s="7"/>
      <c r="AQ244" s="7"/>
      <c r="AR244" s="7"/>
      <c r="AS244" s="7"/>
      <c r="AT244" s="7"/>
      <c r="AU244" s="7"/>
      <c r="AV244" s="7"/>
      <c r="AW244" s="7"/>
      <c r="AX244" s="7"/>
    </row>
    <row r="245" spans="1:50" ht="15.75" customHeigh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2"/>
      <c r="AP245" s="7"/>
      <c r="AQ245" s="7"/>
      <c r="AR245" s="7"/>
      <c r="AS245" s="7"/>
      <c r="AT245" s="7"/>
      <c r="AU245" s="7"/>
      <c r="AV245" s="7"/>
      <c r="AW245" s="7"/>
      <c r="AX245" s="7"/>
    </row>
    <row r="246" spans="1:50" ht="15.75" customHeigh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2"/>
      <c r="AP246" s="7"/>
      <c r="AQ246" s="7"/>
      <c r="AR246" s="7"/>
      <c r="AS246" s="7"/>
      <c r="AT246" s="7"/>
      <c r="AU246" s="7"/>
      <c r="AV246" s="7"/>
      <c r="AW246" s="7"/>
      <c r="AX246" s="7"/>
    </row>
    <row r="247" spans="1:50" ht="15.75" customHeigh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2"/>
      <c r="AP247" s="7"/>
      <c r="AQ247" s="7"/>
      <c r="AR247" s="7"/>
      <c r="AS247" s="7"/>
      <c r="AT247" s="7"/>
      <c r="AU247" s="7"/>
      <c r="AV247" s="7"/>
      <c r="AW247" s="7"/>
      <c r="AX247" s="7"/>
    </row>
    <row r="248" spans="1:50" ht="15.75" customHeigh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2"/>
      <c r="AP248" s="7"/>
      <c r="AQ248" s="7"/>
      <c r="AR248" s="7"/>
      <c r="AS248" s="7"/>
      <c r="AT248" s="7"/>
      <c r="AU248" s="7"/>
      <c r="AV248" s="7"/>
      <c r="AW248" s="7"/>
      <c r="AX248" s="7"/>
    </row>
    <row r="249" spans="1:50" ht="15.75" customHeigh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2"/>
      <c r="AP249" s="7"/>
      <c r="AQ249" s="7"/>
      <c r="AR249" s="7"/>
      <c r="AS249" s="7"/>
      <c r="AT249" s="7"/>
      <c r="AU249" s="7"/>
      <c r="AV249" s="7"/>
      <c r="AW249" s="7"/>
      <c r="AX249" s="7"/>
    </row>
    <row r="250" spans="1:50" ht="15.75" customHeigh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2"/>
      <c r="AP250" s="7"/>
      <c r="AQ250" s="7"/>
      <c r="AR250" s="7"/>
      <c r="AS250" s="7"/>
      <c r="AT250" s="7"/>
      <c r="AU250" s="7"/>
      <c r="AV250" s="7"/>
      <c r="AW250" s="7"/>
      <c r="AX250" s="7"/>
    </row>
    <row r="251" spans="1:50" ht="15.75" customHeigh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2"/>
      <c r="AP251" s="7"/>
      <c r="AQ251" s="7"/>
      <c r="AR251" s="7"/>
      <c r="AS251" s="7"/>
      <c r="AT251" s="7"/>
      <c r="AU251" s="7"/>
      <c r="AV251" s="7"/>
      <c r="AW251" s="7"/>
      <c r="AX251" s="7"/>
    </row>
    <row r="252" spans="1:50" ht="15.75" customHeigh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2"/>
      <c r="AP252" s="7"/>
      <c r="AQ252" s="7"/>
      <c r="AR252" s="7"/>
      <c r="AS252" s="7"/>
      <c r="AT252" s="7"/>
      <c r="AU252" s="7"/>
      <c r="AV252" s="7"/>
      <c r="AW252" s="7"/>
      <c r="AX252" s="7"/>
    </row>
    <row r="253" spans="1:50" ht="15.75" customHeigh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2"/>
      <c r="AP253" s="7"/>
      <c r="AQ253" s="7"/>
      <c r="AR253" s="7"/>
      <c r="AS253" s="7"/>
      <c r="AT253" s="7"/>
      <c r="AU253" s="7"/>
      <c r="AV253" s="7"/>
      <c r="AW253" s="7"/>
      <c r="AX253" s="7"/>
    </row>
    <row r="254" spans="1:50" ht="15.75" customHeigh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2"/>
      <c r="AP254" s="7"/>
      <c r="AQ254" s="7"/>
      <c r="AR254" s="7"/>
      <c r="AS254" s="7"/>
      <c r="AT254" s="7"/>
      <c r="AU254" s="7"/>
      <c r="AV254" s="7"/>
      <c r="AW254" s="7"/>
      <c r="AX254" s="7"/>
    </row>
    <row r="255" spans="1:50" ht="15.75" customHeigh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2"/>
      <c r="AP255" s="7"/>
      <c r="AQ255" s="7"/>
      <c r="AR255" s="7"/>
      <c r="AS255" s="7"/>
      <c r="AT255" s="7"/>
      <c r="AU255" s="7"/>
      <c r="AV255" s="7"/>
      <c r="AW255" s="7"/>
      <c r="AX255" s="7"/>
    </row>
    <row r="256" spans="1:50" ht="15.75" customHeigh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2"/>
      <c r="AP256" s="7"/>
      <c r="AQ256" s="7"/>
      <c r="AR256" s="7"/>
      <c r="AS256" s="7"/>
      <c r="AT256" s="7"/>
      <c r="AU256" s="7"/>
      <c r="AV256" s="7"/>
      <c r="AW256" s="7"/>
      <c r="AX256" s="7"/>
    </row>
    <row r="257" spans="1:50" ht="15.75" customHeigh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2"/>
      <c r="AP257" s="7"/>
      <c r="AQ257" s="7"/>
      <c r="AR257" s="7"/>
      <c r="AS257" s="7"/>
      <c r="AT257" s="7"/>
      <c r="AU257" s="7"/>
      <c r="AV257" s="7"/>
      <c r="AW257" s="7"/>
      <c r="AX257" s="7"/>
    </row>
    <row r="258" spans="1:50" ht="15.75" customHeigh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2"/>
      <c r="AP258" s="7"/>
      <c r="AQ258" s="7"/>
      <c r="AR258" s="7"/>
      <c r="AS258" s="7"/>
      <c r="AT258" s="7"/>
      <c r="AU258" s="7"/>
      <c r="AV258" s="7"/>
      <c r="AW258" s="7"/>
      <c r="AX258" s="7"/>
    </row>
    <row r="259" spans="1:50" ht="15.75" customHeigh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2"/>
      <c r="AP259" s="7"/>
      <c r="AQ259" s="7"/>
      <c r="AR259" s="7"/>
      <c r="AS259" s="7"/>
      <c r="AT259" s="7"/>
      <c r="AU259" s="7"/>
      <c r="AV259" s="7"/>
      <c r="AW259" s="7"/>
      <c r="AX259" s="7"/>
    </row>
    <row r="260" spans="1:50" ht="15.75" customHeigh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2"/>
      <c r="AP260" s="7"/>
      <c r="AQ260" s="7"/>
      <c r="AR260" s="7"/>
      <c r="AS260" s="7"/>
      <c r="AT260" s="7"/>
      <c r="AU260" s="7"/>
      <c r="AV260" s="7"/>
      <c r="AW260" s="7"/>
      <c r="AX260" s="7"/>
    </row>
    <row r="261" spans="1:50" ht="15.75" customHeigh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2"/>
      <c r="AP261" s="7"/>
      <c r="AQ261" s="7"/>
      <c r="AR261" s="7"/>
      <c r="AS261" s="7"/>
      <c r="AT261" s="7"/>
      <c r="AU261" s="7"/>
      <c r="AV261" s="7"/>
      <c r="AW261" s="7"/>
      <c r="AX261" s="7"/>
    </row>
    <row r="262" spans="1:50" ht="15.75" customHeigh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2"/>
      <c r="AP262" s="7"/>
      <c r="AQ262" s="7"/>
      <c r="AR262" s="7"/>
      <c r="AS262" s="7"/>
      <c r="AT262" s="7"/>
      <c r="AU262" s="7"/>
      <c r="AV262" s="7"/>
      <c r="AW262" s="7"/>
      <c r="AX262" s="7"/>
    </row>
    <row r="263" spans="1:50" ht="15.75" customHeigh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2"/>
      <c r="AP263" s="7"/>
      <c r="AQ263" s="7"/>
      <c r="AR263" s="7"/>
      <c r="AS263" s="7"/>
      <c r="AT263" s="7"/>
      <c r="AU263" s="7"/>
      <c r="AV263" s="7"/>
      <c r="AW263" s="7"/>
      <c r="AX263" s="7"/>
    </row>
    <row r="264" spans="1:50" ht="15.75" customHeigh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2"/>
      <c r="AP264" s="7"/>
      <c r="AQ264" s="7"/>
      <c r="AR264" s="7"/>
      <c r="AS264" s="7"/>
      <c r="AT264" s="7"/>
      <c r="AU264" s="7"/>
      <c r="AV264" s="7"/>
      <c r="AW264" s="7"/>
      <c r="AX264" s="7"/>
    </row>
    <row r="265" spans="1:50" ht="15.75" customHeigh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2"/>
      <c r="AP265" s="7"/>
      <c r="AQ265" s="7"/>
      <c r="AR265" s="7"/>
      <c r="AS265" s="7"/>
      <c r="AT265" s="7"/>
      <c r="AU265" s="7"/>
      <c r="AV265" s="7"/>
      <c r="AW265" s="7"/>
      <c r="AX265" s="7"/>
    </row>
    <row r="266" spans="1:50" ht="15.75" customHeigh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2"/>
      <c r="AP266" s="7"/>
      <c r="AQ266" s="7"/>
      <c r="AR266" s="7"/>
      <c r="AS266" s="7"/>
      <c r="AT266" s="7"/>
      <c r="AU266" s="7"/>
      <c r="AV266" s="7"/>
      <c r="AW266" s="7"/>
      <c r="AX266" s="7"/>
    </row>
    <row r="267" spans="1:50" ht="15.75" customHeigh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2"/>
      <c r="AP267" s="7"/>
      <c r="AQ267" s="7"/>
      <c r="AR267" s="7"/>
      <c r="AS267" s="7"/>
      <c r="AT267" s="7"/>
      <c r="AU267" s="7"/>
      <c r="AV267" s="7"/>
      <c r="AW267" s="7"/>
      <c r="AX267" s="7"/>
    </row>
    <row r="268" spans="1:50" ht="15.75" customHeigh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2"/>
      <c r="AP268" s="7"/>
      <c r="AQ268" s="7"/>
      <c r="AR268" s="7"/>
      <c r="AS268" s="7"/>
      <c r="AT268" s="7"/>
      <c r="AU268" s="7"/>
      <c r="AV268" s="7"/>
      <c r="AW268" s="7"/>
      <c r="AX268" s="7"/>
    </row>
    <row r="269" spans="1:50" ht="15.75" customHeigh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2"/>
      <c r="AP269" s="7"/>
      <c r="AQ269" s="7"/>
      <c r="AR269" s="7"/>
      <c r="AS269" s="7"/>
      <c r="AT269" s="7"/>
      <c r="AU269" s="7"/>
      <c r="AV269" s="7"/>
      <c r="AW269" s="7"/>
      <c r="AX269" s="7"/>
    </row>
    <row r="270" spans="1:50" ht="15.75" customHeigh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2"/>
      <c r="AP270" s="7"/>
      <c r="AQ270" s="7"/>
      <c r="AR270" s="7"/>
      <c r="AS270" s="7"/>
      <c r="AT270" s="7"/>
      <c r="AU270" s="7"/>
      <c r="AV270" s="7"/>
      <c r="AW270" s="7"/>
      <c r="AX270" s="7"/>
    </row>
    <row r="271" spans="1:50" ht="15.75" customHeigh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2"/>
      <c r="AP271" s="7"/>
      <c r="AQ271" s="7"/>
      <c r="AR271" s="7"/>
      <c r="AS271" s="7"/>
      <c r="AT271" s="7"/>
      <c r="AU271" s="7"/>
      <c r="AV271" s="7"/>
      <c r="AW271" s="7"/>
      <c r="AX271" s="7"/>
    </row>
    <row r="272" spans="1:50" ht="15.75" customHeigh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2"/>
      <c r="AP272" s="7"/>
      <c r="AQ272" s="7"/>
      <c r="AR272" s="7"/>
      <c r="AS272" s="7"/>
      <c r="AT272" s="7"/>
      <c r="AU272" s="7"/>
      <c r="AV272" s="7"/>
      <c r="AW272" s="7"/>
      <c r="AX272" s="7"/>
    </row>
    <row r="273" spans="1:50" ht="15.75" customHeigh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2"/>
      <c r="AP273" s="7"/>
      <c r="AQ273" s="7"/>
      <c r="AR273" s="7"/>
      <c r="AS273" s="7"/>
      <c r="AT273" s="7"/>
      <c r="AU273" s="7"/>
      <c r="AV273" s="7"/>
      <c r="AW273" s="7"/>
      <c r="AX273" s="7"/>
    </row>
    <row r="274" spans="1:50" ht="15.75" customHeigh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2"/>
      <c r="AP274" s="7"/>
      <c r="AQ274" s="7"/>
      <c r="AR274" s="7"/>
      <c r="AS274" s="7"/>
      <c r="AT274" s="7"/>
      <c r="AU274" s="7"/>
      <c r="AV274" s="7"/>
      <c r="AW274" s="7"/>
      <c r="AX274" s="7"/>
    </row>
    <row r="275" spans="1:50" ht="15.75" customHeigh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2"/>
      <c r="AP275" s="7"/>
      <c r="AQ275" s="7"/>
      <c r="AR275" s="7"/>
      <c r="AS275" s="7"/>
      <c r="AT275" s="7"/>
      <c r="AU275" s="7"/>
      <c r="AV275" s="7"/>
      <c r="AW275" s="7"/>
      <c r="AX275" s="7"/>
    </row>
    <row r="276" spans="1:50" ht="15.75" customHeigh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2"/>
      <c r="AP276" s="7"/>
      <c r="AQ276" s="7"/>
      <c r="AR276" s="7"/>
      <c r="AS276" s="7"/>
      <c r="AT276" s="7"/>
      <c r="AU276" s="7"/>
      <c r="AV276" s="7"/>
      <c r="AW276" s="7"/>
      <c r="AX276" s="7"/>
    </row>
    <row r="277" spans="1:50" ht="15.75" customHeigh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2"/>
      <c r="AP277" s="7"/>
      <c r="AQ277" s="7"/>
      <c r="AR277" s="7"/>
      <c r="AS277" s="7"/>
      <c r="AT277" s="7"/>
      <c r="AU277" s="7"/>
      <c r="AV277" s="7"/>
      <c r="AW277" s="7"/>
      <c r="AX277" s="7"/>
    </row>
    <row r="278" spans="1:50" ht="15.75" customHeigh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2"/>
      <c r="AP278" s="7"/>
      <c r="AQ278" s="7"/>
      <c r="AR278" s="7"/>
      <c r="AS278" s="7"/>
      <c r="AT278" s="7"/>
      <c r="AU278" s="7"/>
      <c r="AV278" s="7"/>
      <c r="AW278" s="7"/>
      <c r="AX278" s="7"/>
    </row>
    <row r="279" spans="1:50" ht="15.75" customHeigh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2"/>
      <c r="AP279" s="7"/>
      <c r="AQ279" s="7"/>
      <c r="AR279" s="7"/>
      <c r="AS279" s="7"/>
      <c r="AT279" s="7"/>
      <c r="AU279" s="7"/>
      <c r="AV279" s="7"/>
      <c r="AW279" s="7"/>
      <c r="AX279" s="7"/>
    </row>
    <row r="280" spans="1:50" ht="15.75" customHeigh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2"/>
      <c r="AP280" s="7"/>
      <c r="AQ280" s="7"/>
      <c r="AR280" s="7"/>
      <c r="AS280" s="7"/>
      <c r="AT280" s="7"/>
      <c r="AU280" s="7"/>
      <c r="AV280" s="7"/>
      <c r="AW280" s="7"/>
      <c r="AX280" s="7"/>
    </row>
    <row r="281" spans="1:50" ht="15.75" customHeigh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2"/>
      <c r="AP281" s="7"/>
      <c r="AQ281" s="7"/>
      <c r="AR281" s="7"/>
      <c r="AS281" s="7"/>
      <c r="AT281" s="7"/>
      <c r="AU281" s="7"/>
      <c r="AV281" s="7"/>
      <c r="AW281" s="7"/>
      <c r="AX281" s="7"/>
    </row>
    <row r="282" spans="1:50" ht="15.75" customHeigh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2"/>
      <c r="AP282" s="7"/>
      <c r="AQ282" s="7"/>
      <c r="AR282" s="7"/>
      <c r="AS282" s="7"/>
      <c r="AT282" s="7"/>
      <c r="AU282" s="7"/>
      <c r="AV282" s="7"/>
      <c r="AW282" s="7"/>
      <c r="AX282" s="7"/>
    </row>
    <row r="283" spans="1:50" ht="15.75" customHeigh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2"/>
      <c r="AP283" s="7"/>
      <c r="AQ283" s="7"/>
      <c r="AR283" s="7"/>
      <c r="AS283" s="7"/>
      <c r="AT283" s="7"/>
      <c r="AU283" s="7"/>
      <c r="AV283" s="7"/>
      <c r="AW283" s="7"/>
      <c r="AX283" s="7"/>
    </row>
    <row r="284" spans="1:50" ht="15.75" customHeigh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2"/>
      <c r="AP284" s="7"/>
      <c r="AQ284" s="7"/>
      <c r="AR284" s="7"/>
      <c r="AS284" s="7"/>
      <c r="AT284" s="7"/>
      <c r="AU284" s="7"/>
      <c r="AV284" s="7"/>
      <c r="AW284" s="7"/>
      <c r="AX284" s="7"/>
    </row>
    <row r="285" spans="1:50" ht="15.75" customHeigh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2"/>
      <c r="AP285" s="7"/>
      <c r="AQ285" s="7"/>
      <c r="AR285" s="7"/>
      <c r="AS285" s="7"/>
      <c r="AT285" s="7"/>
      <c r="AU285" s="7"/>
      <c r="AV285" s="7"/>
      <c r="AW285" s="7"/>
      <c r="AX285" s="7"/>
    </row>
    <row r="286" spans="1:50" ht="15.75" customHeigh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2"/>
      <c r="AP286" s="7"/>
      <c r="AQ286" s="7"/>
      <c r="AR286" s="7"/>
      <c r="AS286" s="7"/>
      <c r="AT286" s="7"/>
      <c r="AU286" s="7"/>
      <c r="AV286" s="7"/>
      <c r="AW286" s="7"/>
      <c r="AX286" s="7"/>
    </row>
    <row r="287" spans="1:50" ht="15.75" customHeigh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2"/>
      <c r="AP287" s="7"/>
      <c r="AQ287" s="7"/>
      <c r="AR287" s="7"/>
      <c r="AS287" s="7"/>
      <c r="AT287" s="7"/>
      <c r="AU287" s="7"/>
      <c r="AV287" s="7"/>
      <c r="AW287" s="7"/>
      <c r="AX287" s="7"/>
    </row>
    <row r="288" spans="1:50" ht="15.75" customHeigh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2"/>
      <c r="AP288" s="7"/>
      <c r="AQ288" s="7"/>
      <c r="AR288" s="7"/>
      <c r="AS288" s="7"/>
      <c r="AT288" s="7"/>
      <c r="AU288" s="7"/>
      <c r="AV288" s="7"/>
      <c r="AW288" s="7"/>
      <c r="AX288" s="7"/>
    </row>
    <row r="289" spans="1:50" ht="15.75" customHeigh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2"/>
      <c r="AP289" s="7"/>
      <c r="AQ289" s="7"/>
      <c r="AR289" s="7"/>
      <c r="AS289" s="7"/>
      <c r="AT289" s="7"/>
      <c r="AU289" s="7"/>
      <c r="AV289" s="7"/>
      <c r="AW289" s="7"/>
      <c r="AX289" s="7"/>
    </row>
    <row r="290" spans="1:50" ht="15.75" customHeigh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2"/>
      <c r="AP290" s="7"/>
      <c r="AQ290" s="7"/>
      <c r="AR290" s="7"/>
      <c r="AS290" s="7"/>
      <c r="AT290" s="7"/>
      <c r="AU290" s="7"/>
      <c r="AV290" s="7"/>
      <c r="AW290" s="7"/>
      <c r="AX290" s="7"/>
    </row>
    <row r="291" spans="1:50" ht="15.75" customHeigh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2"/>
      <c r="AP291" s="7"/>
      <c r="AQ291" s="7"/>
      <c r="AR291" s="7"/>
      <c r="AS291" s="7"/>
      <c r="AT291" s="7"/>
      <c r="AU291" s="7"/>
      <c r="AV291" s="7"/>
      <c r="AW291" s="7"/>
      <c r="AX291" s="7"/>
    </row>
    <row r="292" spans="1:50" ht="15.75" customHeigh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2"/>
      <c r="AP292" s="7"/>
      <c r="AQ292" s="7"/>
      <c r="AR292" s="7"/>
      <c r="AS292" s="7"/>
      <c r="AT292" s="7"/>
      <c r="AU292" s="7"/>
      <c r="AV292" s="7"/>
      <c r="AW292" s="7"/>
      <c r="AX292" s="7"/>
    </row>
    <row r="293" spans="1:50" ht="15.75" customHeigh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2"/>
      <c r="AP293" s="7"/>
      <c r="AQ293" s="7"/>
      <c r="AR293" s="7"/>
      <c r="AS293" s="7"/>
      <c r="AT293" s="7"/>
      <c r="AU293" s="7"/>
      <c r="AV293" s="7"/>
      <c r="AW293" s="7"/>
      <c r="AX293" s="7"/>
    </row>
    <row r="294" spans="1:50" ht="15.75" customHeigh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2"/>
      <c r="AP294" s="7"/>
      <c r="AQ294" s="7"/>
      <c r="AR294" s="7"/>
      <c r="AS294" s="7"/>
      <c r="AT294" s="7"/>
      <c r="AU294" s="7"/>
      <c r="AV294" s="7"/>
      <c r="AW294" s="7"/>
      <c r="AX294" s="7"/>
    </row>
    <row r="295" spans="1:50" ht="15.75" customHeigh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2"/>
      <c r="AP295" s="7"/>
      <c r="AQ295" s="7"/>
      <c r="AR295" s="7"/>
      <c r="AS295" s="7"/>
      <c r="AT295" s="7"/>
      <c r="AU295" s="7"/>
      <c r="AV295" s="7"/>
      <c r="AW295" s="7"/>
      <c r="AX295" s="7"/>
    </row>
    <row r="296" spans="1:50" ht="15.75" customHeigh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2"/>
      <c r="AP296" s="7"/>
      <c r="AQ296" s="7"/>
      <c r="AR296" s="7"/>
      <c r="AS296" s="7"/>
      <c r="AT296" s="7"/>
      <c r="AU296" s="7"/>
      <c r="AV296" s="7"/>
      <c r="AW296" s="7"/>
      <c r="AX296" s="7"/>
    </row>
    <row r="297" spans="1:50" ht="15.75" customHeigh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2"/>
      <c r="AP297" s="7"/>
      <c r="AQ297" s="7"/>
      <c r="AR297" s="7"/>
      <c r="AS297" s="7"/>
      <c r="AT297" s="7"/>
      <c r="AU297" s="7"/>
      <c r="AV297" s="7"/>
      <c r="AW297" s="7"/>
      <c r="AX297" s="7"/>
    </row>
    <row r="298" spans="1:50" ht="15.75" customHeigh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2"/>
      <c r="AP298" s="7"/>
      <c r="AQ298" s="7"/>
      <c r="AR298" s="7"/>
      <c r="AS298" s="7"/>
      <c r="AT298" s="7"/>
      <c r="AU298" s="7"/>
      <c r="AV298" s="7"/>
      <c r="AW298" s="7"/>
      <c r="AX298" s="7"/>
    </row>
    <row r="299" spans="1:50" ht="15.75" customHeigh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2"/>
      <c r="AP299" s="7"/>
      <c r="AQ299" s="7"/>
      <c r="AR299" s="7"/>
      <c r="AS299" s="7"/>
      <c r="AT299" s="7"/>
      <c r="AU299" s="7"/>
      <c r="AV299" s="7"/>
      <c r="AW299" s="7"/>
      <c r="AX299" s="7"/>
    </row>
    <row r="300" spans="1:50" ht="15.75" customHeigh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2"/>
      <c r="AP300" s="7"/>
      <c r="AQ300" s="7"/>
      <c r="AR300" s="7"/>
      <c r="AS300" s="7"/>
      <c r="AT300" s="7"/>
      <c r="AU300" s="7"/>
      <c r="AV300" s="7"/>
      <c r="AW300" s="7"/>
      <c r="AX300" s="7"/>
    </row>
    <row r="301" spans="1:50" ht="15.75" customHeigh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2"/>
      <c r="AP301" s="7"/>
      <c r="AQ301" s="7"/>
      <c r="AR301" s="7"/>
      <c r="AS301" s="7"/>
      <c r="AT301" s="7"/>
      <c r="AU301" s="7"/>
      <c r="AV301" s="7"/>
      <c r="AW301" s="7"/>
      <c r="AX301" s="7"/>
    </row>
    <row r="302" spans="1:50" ht="15.75" customHeigh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2"/>
      <c r="AP302" s="7"/>
      <c r="AQ302" s="7"/>
      <c r="AR302" s="7"/>
      <c r="AS302" s="7"/>
      <c r="AT302" s="7"/>
      <c r="AU302" s="7"/>
      <c r="AV302" s="7"/>
      <c r="AW302" s="7"/>
      <c r="AX302" s="7"/>
    </row>
    <row r="303" spans="1:50" ht="15.75" customHeigh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2"/>
      <c r="AP303" s="7"/>
      <c r="AQ303" s="7"/>
      <c r="AR303" s="7"/>
      <c r="AS303" s="7"/>
      <c r="AT303" s="7"/>
      <c r="AU303" s="7"/>
      <c r="AV303" s="7"/>
      <c r="AW303" s="7"/>
      <c r="AX303" s="7"/>
    </row>
    <row r="304" spans="1:50" ht="15.75" customHeigh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2"/>
      <c r="AP304" s="7"/>
      <c r="AQ304" s="7"/>
      <c r="AR304" s="7"/>
      <c r="AS304" s="7"/>
      <c r="AT304" s="7"/>
      <c r="AU304" s="7"/>
      <c r="AV304" s="7"/>
      <c r="AW304" s="7"/>
      <c r="AX304" s="7"/>
    </row>
    <row r="305" spans="1:50" ht="15.75" customHeigh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2"/>
      <c r="AP305" s="7"/>
      <c r="AQ305" s="7"/>
      <c r="AR305" s="7"/>
      <c r="AS305" s="7"/>
      <c r="AT305" s="7"/>
      <c r="AU305" s="7"/>
      <c r="AV305" s="7"/>
      <c r="AW305" s="7"/>
      <c r="AX305" s="7"/>
    </row>
    <row r="306" spans="1:50" ht="15.75" customHeigh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2"/>
      <c r="AP306" s="7"/>
      <c r="AQ306" s="7"/>
      <c r="AR306" s="7"/>
      <c r="AS306" s="7"/>
      <c r="AT306" s="7"/>
      <c r="AU306" s="7"/>
      <c r="AV306" s="7"/>
      <c r="AW306" s="7"/>
      <c r="AX306" s="7"/>
    </row>
    <row r="307" spans="1:50" ht="15.75" customHeigh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2"/>
      <c r="AP307" s="7"/>
      <c r="AQ307" s="7"/>
      <c r="AR307" s="7"/>
      <c r="AS307" s="7"/>
      <c r="AT307" s="7"/>
      <c r="AU307" s="7"/>
      <c r="AV307" s="7"/>
      <c r="AW307" s="7"/>
      <c r="AX307" s="7"/>
    </row>
    <row r="308" spans="1:50" ht="15.75" customHeigh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2"/>
      <c r="AP308" s="7"/>
      <c r="AQ308" s="7"/>
      <c r="AR308" s="7"/>
      <c r="AS308" s="7"/>
      <c r="AT308" s="7"/>
      <c r="AU308" s="7"/>
      <c r="AV308" s="7"/>
      <c r="AW308" s="7"/>
      <c r="AX308" s="7"/>
    </row>
    <row r="309" spans="1:50" ht="15.75" customHeigh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2"/>
      <c r="AP309" s="7"/>
      <c r="AQ309" s="7"/>
      <c r="AR309" s="7"/>
      <c r="AS309" s="7"/>
      <c r="AT309" s="7"/>
      <c r="AU309" s="7"/>
      <c r="AV309" s="7"/>
      <c r="AW309" s="7"/>
      <c r="AX309" s="7"/>
    </row>
    <row r="310" spans="1:50" ht="15.75" customHeigh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2"/>
      <c r="AP310" s="7"/>
      <c r="AQ310" s="7"/>
      <c r="AR310" s="7"/>
      <c r="AS310" s="7"/>
      <c r="AT310" s="7"/>
      <c r="AU310" s="7"/>
      <c r="AV310" s="7"/>
      <c r="AW310" s="7"/>
      <c r="AX310" s="7"/>
    </row>
    <row r="311" spans="1:50" ht="15.75" customHeigh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2"/>
      <c r="AP311" s="7"/>
      <c r="AQ311" s="7"/>
      <c r="AR311" s="7"/>
      <c r="AS311" s="7"/>
      <c r="AT311" s="7"/>
      <c r="AU311" s="7"/>
      <c r="AV311" s="7"/>
      <c r="AW311" s="7"/>
      <c r="AX311" s="7"/>
    </row>
    <row r="312" spans="1:50" ht="15.75" customHeigh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2"/>
      <c r="AP312" s="7"/>
      <c r="AQ312" s="7"/>
      <c r="AR312" s="7"/>
      <c r="AS312" s="7"/>
      <c r="AT312" s="7"/>
      <c r="AU312" s="7"/>
      <c r="AV312" s="7"/>
      <c r="AW312" s="7"/>
      <c r="AX312" s="7"/>
    </row>
    <row r="313" spans="1:50" ht="15.75" customHeigh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2"/>
      <c r="AP313" s="7"/>
      <c r="AQ313" s="7"/>
      <c r="AR313" s="7"/>
      <c r="AS313" s="7"/>
      <c r="AT313" s="7"/>
      <c r="AU313" s="7"/>
      <c r="AV313" s="7"/>
      <c r="AW313" s="7"/>
      <c r="AX313" s="7"/>
    </row>
    <row r="314" spans="1:50" ht="15.75" customHeigh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2"/>
      <c r="AP314" s="7"/>
      <c r="AQ314" s="7"/>
      <c r="AR314" s="7"/>
      <c r="AS314" s="7"/>
      <c r="AT314" s="7"/>
      <c r="AU314" s="7"/>
      <c r="AV314" s="7"/>
      <c r="AW314" s="7"/>
      <c r="AX314" s="7"/>
    </row>
    <row r="315" spans="1:50" ht="15.75" customHeigh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2"/>
      <c r="AP315" s="7"/>
      <c r="AQ315" s="7"/>
      <c r="AR315" s="7"/>
      <c r="AS315" s="7"/>
      <c r="AT315" s="7"/>
      <c r="AU315" s="7"/>
      <c r="AV315" s="7"/>
      <c r="AW315" s="7"/>
      <c r="AX315" s="7"/>
    </row>
    <row r="316" spans="1:50" ht="15.75" customHeigh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2"/>
      <c r="AP316" s="7"/>
      <c r="AQ316" s="7"/>
      <c r="AR316" s="7"/>
      <c r="AS316" s="7"/>
      <c r="AT316" s="7"/>
      <c r="AU316" s="7"/>
      <c r="AV316" s="7"/>
      <c r="AW316" s="7"/>
      <c r="AX316" s="7"/>
    </row>
    <row r="317" spans="1:50" ht="15.75" customHeigh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2"/>
      <c r="AP317" s="7"/>
      <c r="AQ317" s="7"/>
      <c r="AR317" s="7"/>
      <c r="AS317" s="7"/>
      <c r="AT317" s="7"/>
      <c r="AU317" s="7"/>
      <c r="AV317" s="7"/>
      <c r="AW317" s="7"/>
      <c r="AX317" s="7"/>
    </row>
    <row r="318" spans="1:50" ht="15.75" customHeigh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2"/>
      <c r="AP318" s="7"/>
      <c r="AQ318" s="7"/>
      <c r="AR318" s="7"/>
      <c r="AS318" s="7"/>
      <c r="AT318" s="7"/>
      <c r="AU318" s="7"/>
      <c r="AV318" s="7"/>
      <c r="AW318" s="7"/>
      <c r="AX318" s="7"/>
    </row>
    <row r="319" spans="1:50" ht="15.75" customHeigh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2"/>
      <c r="AP319" s="7"/>
      <c r="AQ319" s="7"/>
      <c r="AR319" s="7"/>
      <c r="AS319" s="7"/>
      <c r="AT319" s="7"/>
      <c r="AU319" s="7"/>
      <c r="AV319" s="7"/>
      <c r="AW319" s="7"/>
      <c r="AX319" s="7"/>
    </row>
    <row r="320" spans="1:50" ht="15.75" customHeigh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2"/>
      <c r="AP320" s="7"/>
      <c r="AQ320" s="7"/>
      <c r="AR320" s="7"/>
      <c r="AS320" s="7"/>
      <c r="AT320" s="7"/>
      <c r="AU320" s="7"/>
      <c r="AV320" s="7"/>
      <c r="AW320" s="7"/>
      <c r="AX320" s="7"/>
    </row>
    <row r="321" spans="1:50" ht="15.75" customHeigh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2"/>
      <c r="AP321" s="7"/>
      <c r="AQ321" s="7"/>
      <c r="AR321" s="7"/>
      <c r="AS321" s="7"/>
      <c r="AT321" s="7"/>
      <c r="AU321" s="7"/>
      <c r="AV321" s="7"/>
      <c r="AW321" s="7"/>
      <c r="AX321" s="7"/>
    </row>
    <row r="322" spans="1:50" ht="15.75" customHeigh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2"/>
      <c r="AP322" s="7"/>
      <c r="AQ322" s="7"/>
      <c r="AR322" s="7"/>
      <c r="AS322" s="7"/>
      <c r="AT322" s="7"/>
      <c r="AU322" s="7"/>
      <c r="AV322" s="7"/>
      <c r="AW322" s="7"/>
      <c r="AX322" s="7"/>
    </row>
    <row r="323" spans="1:50" ht="15.75" customHeigh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2"/>
      <c r="AP323" s="7"/>
      <c r="AQ323" s="7"/>
      <c r="AR323" s="7"/>
      <c r="AS323" s="7"/>
      <c r="AT323" s="7"/>
      <c r="AU323" s="7"/>
      <c r="AV323" s="7"/>
      <c r="AW323" s="7"/>
      <c r="AX323" s="7"/>
    </row>
    <row r="324" spans="1:50" ht="15.75" customHeigh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2"/>
      <c r="AP324" s="7"/>
      <c r="AQ324" s="7"/>
      <c r="AR324" s="7"/>
      <c r="AS324" s="7"/>
      <c r="AT324" s="7"/>
      <c r="AU324" s="7"/>
      <c r="AV324" s="7"/>
      <c r="AW324" s="7"/>
      <c r="AX324" s="7"/>
    </row>
    <row r="325" spans="1:50" ht="15.75" customHeigh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2"/>
      <c r="AP325" s="7"/>
      <c r="AQ325" s="7"/>
      <c r="AR325" s="7"/>
      <c r="AS325" s="7"/>
      <c r="AT325" s="7"/>
      <c r="AU325" s="7"/>
      <c r="AV325" s="7"/>
      <c r="AW325" s="7"/>
      <c r="AX325" s="7"/>
    </row>
    <row r="326" spans="1:50" ht="15.75" customHeigh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2"/>
      <c r="AP326" s="7"/>
      <c r="AQ326" s="7"/>
      <c r="AR326" s="7"/>
      <c r="AS326" s="7"/>
      <c r="AT326" s="7"/>
      <c r="AU326" s="7"/>
      <c r="AV326" s="7"/>
      <c r="AW326" s="7"/>
      <c r="AX326" s="7"/>
    </row>
    <row r="327" spans="1:50" ht="15.75" customHeigh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2"/>
      <c r="AP327" s="7"/>
      <c r="AQ327" s="7"/>
      <c r="AR327" s="7"/>
      <c r="AS327" s="7"/>
      <c r="AT327" s="7"/>
      <c r="AU327" s="7"/>
      <c r="AV327" s="7"/>
      <c r="AW327" s="7"/>
      <c r="AX327" s="7"/>
    </row>
    <row r="328" spans="1:50" ht="15.75" customHeigh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2"/>
      <c r="AP328" s="7"/>
      <c r="AQ328" s="7"/>
      <c r="AR328" s="7"/>
      <c r="AS328" s="7"/>
      <c r="AT328" s="7"/>
      <c r="AU328" s="7"/>
      <c r="AV328" s="7"/>
      <c r="AW328" s="7"/>
      <c r="AX328" s="7"/>
    </row>
    <row r="329" spans="1:50" ht="15.75" customHeigh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2"/>
      <c r="AP329" s="7"/>
      <c r="AQ329" s="7"/>
      <c r="AR329" s="7"/>
      <c r="AS329" s="7"/>
      <c r="AT329" s="7"/>
      <c r="AU329" s="7"/>
      <c r="AV329" s="7"/>
      <c r="AW329" s="7"/>
      <c r="AX329" s="7"/>
    </row>
    <row r="330" spans="1:50" ht="15.75" customHeigh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2"/>
      <c r="AP330" s="7"/>
      <c r="AQ330" s="7"/>
      <c r="AR330" s="7"/>
      <c r="AS330" s="7"/>
      <c r="AT330" s="7"/>
      <c r="AU330" s="7"/>
      <c r="AV330" s="7"/>
      <c r="AW330" s="7"/>
      <c r="AX330" s="7"/>
    </row>
    <row r="331" spans="1:50" ht="15.75" customHeigh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2"/>
      <c r="AP331" s="7"/>
      <c r="AQ331" s="7"/>
      <c r="AR331" s="7"/>
      <c r="AS331" s="7"/>
      <c r="AT331" s="7"/>
      <c r="AU331" s="7"/>
      <c r="AV331" s="7"/>
      <c r="AW331" s="7"/>
      <c r="AX331" s="7"/>
    </row>
    <row r="332" spans="1:50" ht="15.75" customHeigh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2"/>
      <c r="AP332" s="7"/>
      <c r="AQ332" s="7"/>
      <c r="AR332" s="7"/>
      <c r="AS332" s="7"/>
      <c r="AT332" s="7"/>
      <c r="AU332" s="7"/>
      <c r="AV332" s="7"/>
      <c r="AW332" s="7"/>
      <c r="AX332" s="7"/>
    </row>
    <row r="333" spans="1:50" ht="15.75" customHeigh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2"/>
      <c r="AP333" s="7"/>
      <c r="AQ333" s="7"/>
      <c r="AR333" s="7"/>
      <c r="AS333" s="7"/>
      <c r="AT333" s="7"/>
      <c r="AU333" s="7"/>
      <c r="AV333" s="7"/>
      <c r="AW333" s="7"/>
      <c r="AX333" s="7"/>
    </row>
    <row r="334" spans="1:50" ht="15.75" customHeigh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2"/>
      <c r="AP334" s="7"/>
      <c r="AQ334" s="7"/>
      <c r="AR334" s="7"/>
      <c r="AS334" s="7"/>
      <c r="AT334" s="7"/>
      <c r="AU334" s="7"/>
      <c r="AV334" s="7"/>
      <c r="AW334" s="7"/>
      <c r="AX334" s="7"/>
    </row>
    <row r="335" spans="1:50" ht="15.75" customHeigh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2"/>
      <c r="AP335" s="7"/>
      <c r="AQ335" s="7"/>
      <c r="AR335" s="7"/>
      <c r="AS335" s="7"/>
      <c r="AT335" s="7"/>
      <c r="AU335" s="7"/>
      <c r="AV335" s="7"/>
      <c r="AW335" s="7"/>
      <c r="AX335" s="7"/>
    </row>
    <row r="336" spans="1:50" ht="15.75" customHeigh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2"/>
      <c r="AP336" s="7"/>
      <c r="AQ336" s="7"/>
      <c r="AR336" s="7"/>
      <c r="AS336" s="7"/>
      <c r="AT336" s="7"/>
      <c r="AU336" s="7"/>
      <c r="AV336" s="7"/>
      <c r="AW336" s="7"/>
      <c r="AX336" s="7"/>
    </row>
    <row r="337" spans="1:50" ht="15.75" customHeigh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2"/>
      <c r="AP337" s="7"/>
      <c r="AQ337" s="7"/>
      <c r="AR337" s="7"/>
      <c r="AS337" s="7"/>
      <c r="AT337" s="7"/>
      <c r="AU337" s="7"/>
      <c r="AV337" s="7"/>
      <c r="AW337" s="7"/>
      <c r="AX337" s="7"/>
    </row>
    <row r="338" spans="1:50" ht="15.75" customHeigh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2"/>
      <c r="AP338" s="7"/>
      <c r="AQ338" s="7"/>
      <c r="AR338" s="7"/>
      <c r="AS338" s="7"/>
      <c r="AT338" s="7"/>
      <c r="AU338" s="7"/>
      <c r="AV338" s="7"/>
      <c r="AW338" s="7"/>
      <c r="AX338" s="7"/>
    </row>
    <row r="339" spans="1:50" ht="15.75" customHeigh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2"/>
      <c r="AP339" s="7"/>
      <c r="AQ339" s="7"/>
      <c r="AR339" s="7"/>
      <c r="AS339" s="7"/>
      <c r="AT339" s="7"/>
      <c r="AU339" s="7"/>
      <c r="AV339" s="7"/>
      <c r="AW339" s="7"/>
      <c r="AX339" s="7"/>
    </row>
    <row r="340" spans="1:50" ht="15.75" customHeigh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2"/>
      <c r="AP340" s="7"/>
      <c r="AQ340" s="7"/>
      <c r="AR340" s="7"/>
      <c r="AS340" s="7"/>
      <c r="AT340" s="7"/>
      <c r="AU340" s="7"/>
      <c r="AV340" s="7"/>
      <c r="AW340" s="7"/>
      <c r="AX340" s="7"/>
    </row>
    <row r="341" spans="1:50" ht="15.75" customHeigh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2"/>
      <c r="AP341" s="7"/>
      <c r="AQ341" s="7"/>
      <c r="AR341" s="7"/>
      <c r="AS341" s="7"/>
      <c r="AT341" s="7"/>
      <c r="AU341" s="7"/>
      <c r="AV341" s="7"/>
      <c r="AW341" s="7"/>
      <c r="AX341" s="7"/>
    </row>
    <row r="342" spans="1:50" ht="15.75" customHeigh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2"/>
      <c r="AP342" s="7"/>
      <c r="AQ342" s="7"/>
      <c r="AR342" s="7"/>
      <c r="AS342" s="7"/>
      <c r="AT342" s="7"/>
      <c r="AU342" s="7"/>
      <c r="AV342" s="7"/>
      <c r="AW342" s="7"/>
      <c r="AX342" s="7"/>
    </row>
    <row r="343" spans="1:50" ht="15.75" customHeigh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2"/>
      <c r="AP343" s="7"/>
      <c r="AQ343" s="7"/>
      <c r="AR343" s="7"/>
      <c r="AS343" s="7"/>
      <c r="AT343" s="7"/>
      <c r="AU343" s="7"/>
      <c r="AV343" s="7"/>
      <c r="AW343" s="7"/>
      <c r="AX343" s="7"/>
    </row>
    <row r="344" spans="1:50" ht="15.75" customHeigh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2"/>
      <c r="AP344" s="7"/>
      <c r="AQ344" s="7"/>
      <c r="AR344" s="7"/>
      <c r="AS344" s="7"/>
      <c r="AT344" s="7"/>
      <c r="AU344" s="7"/>
      <c r="AV344" s="7"/>
      <c r="AW344" s="7"/>
      <c r="AX344" s="7"/>
    </row>
    <row r="345" spans="1:50" ht="15.75" customHeigh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2"/>
      <c r="AP345" s="7"/>
      <c r="AQ345" s="7"/>
      <c r="AR345" s="7"/>
      <c r="AS345" s="7"/>
      <c r="AT345" s="7"/>
      <c r="AU345" s="7"/>
      <c r="AV345" s="7"/>
      <c r="AW345" s="7"/>
      <c r="AX345" s="7"/>
    </row>
    <row r="346" spans="1:50" ht="15.75" customHeigh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2"/>
      <c r="AP346" s="7"/>
      <c r="AQ346" s="7"/>
      <c r="AR346" s="7"/>
      <c r="AS346" s="7"/>
      <c r="AT346" s="7"/>
      <c r="AU346" s="7"/>
      <c r="AV346" s="7"/>
      <c r="AW346" s="7"/>
      <c r="AX346" s="7"/>
    </row>
    <row r="347" spans="1:50" ht="15.75" customHeigh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2"/>
      <c r="AP347" s="7"/>
      <c r="AQ347" s="7"/>
      <c r="AR347" s="7"/>
      <c r="AS347" s="7"/>
      <c r="AT347" s="7"/>
      <c r="AU347" s="7"/>
      <c r="AV347" s="7"/>
      <c r="AW347" s="7"/>
      <c r="AX347" s="7"/>
    </row>
    <row r="348" spans="1:50" ht="15.75" customHeigh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2"/>
      <c r="AP348" s="7"/>
      <c r="AQ348" s="7"/>
      <c r="AR348" s="7"/>
      <c r="AS348" s="7"/>
      <c r="AT348" s="7"/>
      <c r="AU348" s="7"/>
      <c r="AV348" s="7"/>
      <c r="AW348" s="7"/>
      <c r="AX348" s="7"/>
    </row>
    <row r="349" spans="1:50" ht="15.75" customHeigh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2"/>
      <c r="AP349" s="7"/>
      <c r="AQ349" s="7"/>
      <c r="AR349" s="7"/>
      <c r="AS349" s="7"/>
      <c r="AT349" s="7"/>
      <c r="AU349" s="7"/>
      <c r="AV349" s="7"/>
      <c r="AW349" s="7"/>
      <c r="AX349" s="7"/>
    </row>
    <row r="350" spans="1:50" ht="15.75" customHeigh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2"/>
      <c r="AP350" s="7"/>
      <c r="AQ350" s="7"/>
      <c r="AR350" s="7"/>
      <c r="AS350" s="7"/>
      <c r="AT350" s="7"/>
      <c r="AU350" s="7"/>
      <c r="AV350" s="7"/>
      <c r="AW350" s="7"/>
      <c r="AX350" s="7"/>
    </row>
    <row r="351" spans="1:50" ht="15.75" customHeigh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2"/>
      <c r="AP351" s="7"/>
      <c r="AQ351" s="7"/>
      <c r="AR351" s="7"/>
      <c r="AS351" s="7"/>
      <c r="AT351" s="7"/>
      <c r="AU351" s="7"/>
      <c r="AV351" s="7"/>
      <c r="AW351" s="7"/>
      <c r="AX351" s="7"/>
    </row>
    <row r="352" spans="1:50" ht="15.75" customHeigh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2"/>
      <c r="AP352" s="7"/>
      <c r="AQ352" s="7"/>
      <c r="AR352" s="7"/>
      <c r="AS352" s="7"/>
      <c r="AT352" s="7"/>
      <c r="AU352" s="7"/>
      <c r="AV352" s="7"/>
      <c r="AW352" s="7"/>
      <c r="AX352" s="7"/>
    </row>
    <row r="353" spans="1:50" ht="15.75" customHeigh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2"/>
      <c r="AP353" s="7"/>
      <c r="AQ353" s="7"/>
      <c r="AR353" s="7"/>
      <c r="AS353" s="7"/>
      <c r="AT353" s="7"/>
      <c r="AU353" s="7"/>
      <c r="AV353" s="7"/>
      <c r="AW353" s="7"/>
      <c r="AX353" s="7"/>
    </row>
    <row r="354" spans="1:50" ht="15.75" customHeigh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2"/>
      <c r="AP354" s="7"/>
      <c r="AQ354" s="7"/>
      <c r="AR354" s="7"/>
      <c r="AS354" s="7"/>
      <c r="AT354" s="7"/>
      <c r="AU354" s="7"/>
      <c r="AV354" s="7"/>
      <c r="AW354" s="7"/>
      <c r="AX354" s="7"/>
    </row>
    <row r="355" spans="1:50" ht="15.75" customHeigh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2"/>
      <c r="AP355" s="7"/>
      <c r="AQ355" s="7"/>
      <c r="AR355" s="7"/>
      <c r="AS355" s="7"/>
      <c r="AT355" s="7"/>
      <c r="AU355" s="7"/>
      <c r="AV355" s="7"/>
      <c r="AW355" s="7"/>
      <c r="AX355" s="7"/>
    </row>
    <row r="356" spans="1:50" ht="15.75" customHeigh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2"/>
      <c r="AP356" s="7"/>
      <c r="AQ356" s="7"/>
      <c r="AR356" s="7"/>
      <c r="AS356" s="7"/>
      <c r="AT356" s="7"/>
      <c r="AU356" s="7"/>
      <c r="AV356" s="7"/>
      <c r="AW356" s="7"/>
      <c r="AX356" s="7"/>
    </row>
    <row r="357" spans="1:50" ht="15.75" customHeigh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2"/>
      <c r="AP357" s="7"/>
      <c r="AQ357" s="7"/>
      <c r="AR357" s="7"/>
      <c r="AS357" s="7"/>
      <c r="AT357" s="7"/>
      <c r="AU357" s="7"/>
      <c r="AV357" s="7"/>
      <c r="AW357" s="7"/>
      <c r="AX357" s="7"/>
    </row>
    <row r="358" spans="1:50" ht="15.75" customHeigh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2"/>
      <c r="AP358" s="7"/>
      <c r="AQ358" s="7"/>
      <c r="AR358" s="7"/>
      <c r="AS358" s="7"/>
      <c r="AT358" s="7"/>
      <c r="AU358" s="7"/>
      <c r="AV358" s="7"/>
      <c r="AW358" s="7"/>
      <c r="AX358" s="7"/>
    </row>
    <row r="359" spans="1:50" ht="15.75" customHeigh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2"/>
      <c r="AP359" s="7"/>
      <c r="AQ359" s="7"/>
      <c r="AR359" s="7"/>
      <c r="AS359" s="7"/>
      <c r="AT359" s="7"/>
      <c r="AU359" s="7"/>
      <c r="AV359" s="7"/>
      <c r="AW359" s="7"/>
      <c r="AX359" s="7"/>
    </row>
    <row r="360" spans="1:50" ht="15.75" customHeigh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2"/>
      <c r="AP360" s="7"/>
      <c r="AQ360" s="7"/>
      <c r="AR360" s="7"/>
      <c r="AS360" s="7"/>
      <c r="AT360" s="7"/>
      <c r="AU360" s="7"/>
      <c r="AV360" s="7"/>
      <c r="AW360" s="7"/>
      <c r="AX360" s="7"/>
    </row>
    <row r="361" spans="1:50" ht="15.75" customHeigh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2"/>
      <c r="AP361" s="7"/>
      <c r="AQ361" s="7"/>
      <c r="AR361" s="7"/>
      <c r="AS361" s="7"/>
      <c r="AT361" s="7"/>
      <c r="AU361" s="7"/>
      <c r="AV361" s="7"/>
      <c r="AW361" s="7"/>
      <c r="AX361" s="7"/>
    </row>
    <row r="362" spans="1:50" ht="15.75" customHeigh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2"/>
      <c r="AP362" s="7"/>
      <c r="AQ362" s="7"/>
      <c r="AR362" s="7"/>
      <c r="AS362" s="7"/>
      <c r="AT362" s="7"/>
      <c r="AU362" s="7"/>
      <c r="AV362" s="7"/>
      <c r="AW362" s="7"/>
      <c r="AX362" s="7"/>
    </row>
    <row r="363" spans="1:50" ht="15.75" customHeigh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2"/>
      <c r="AP363" s="7"/>
      <c r="AQ363" s="7"/>
      <c r="AR363" s="7"/>
      <c r="AS363" s="7"/>
      <c r="AT363" s="7"/>
      <c r="AU363" s="7"/>
      <c r="AV363" s="7"/>
      <c r="AW363" s="7"/>
      <c r="AX363" s="7"/>
    </row>
    <row r="364" spans="1:50" ht="15.75" customHeigh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2"/>
      <c r="AP364" s="7"/>
      <c r="AQ364" s="7"/>
      <c r="AR364" s="7"/>
      <c r="AS364" s="7"/>
      <c r="AT364" s="7"/>
      <c r="AU364" s="7"/>
      <c r="AV364" s="7"/>
      <c r="AW364" s="7"/>
      <c r="AX364" s="7"/>
    </row>
    <row r="365" spans="1:50" ht="15.75" customHeigh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2"/>
      <c r="AP365" s="7"/>
      <c r="AQ365" s="7"/>
      <c r="AR365" s="7"/>
      <c r="AS365" s="7"/>
      <c r="AT365" s="7"/>
      <c r="AU365" s="7"/>
      <c r="AV365" s="7"/>
      <c r="AW365" s="7"/>
      <c r="AX365" s="7"/>
    </row>
    <row r="366" spans="1:50" ht="15.75" customHeigh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2"/>
      <c r="AP366" s="7"/>
      <c r="AQ366" s="7"/>
      <c r="AR366" s="7"/>
      <c r="AS366" s="7"/>
      <c r="AT366" s="7"/>
      <c r="AU366" s="7"/>
      <c r="AV366" s="7"/>
      <c r="AW366" s="7"/>
      <c r="AX366" s="7"/>
    </row>
    <row r="367" spans="1:50" ht="15.75" customHeigh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2"/>
      <c r="AP367" s="7"/>
      <c r="AQ367" s="7"/>
      <c r="AR367" s="7"/>
      <c r="AS367" s="7"/>
      <c r="AT367" s="7"/>
      <c r="AU367" s="7"/>
      <c r="AV367" s="7"/>
      <c r="AW367" s="7"/>
      <c r="AX367" s="7"/>
    </row>
    <row r="368" spans="1:50" ht="15.75" customHeigh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2"/>
      <c r="AP368" s="7"/>
      <c r="AQ368" s="7"/>
      <c r="AR368" s="7"/>
      <c r="AS368" s="7"/>
      <c r="AT368" s="7"/>
      <c r="AU368" s="7"/>
      <c r="AV368" s="7"/>
      <c r="AW368" s="7"/>
      <c r="AX368" s="7"/>
    </row>
    <row r="369" spans="1:50" ht="15.75" customHeigh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2"/>
      <c r="AP369" s="7"/>
      <c r="AQ369" s="7"/>
      <c r="AR369" s="7"/>
      <c r="AS369" s="7"/>
      <c r="AT369" s="7"/>
      <c r="AU369" s="7"/>
      <c r="AV369" s="7"/>
      <c r="AW369" s="7"/>
      <c r="AX369" s="7"/>
    </row>
    <row r="370" spans="1:50" ht="15.75" customHeigh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2"/>
      <c r="AP370" s="7"/>
      <c r="AQ370" s="7"/>
      <c r="AR370" s="7"/>
      <c r="AS370" s="7"/>
      <c r="AT370" s="7"/>
      <c r="AU370" s="7"/>
      <c r="AV370" s="7"/>
      <c r="AW370" s="7"/>
      <c r="AX370" s="7"/>
    </row>
    <row r="371" spans="1:50" ht="15.75" customHeigh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2"/>
      <c r="AP371" s="7"/>
      <c r="AQ371" s="7"/>
      <c r="AR371" s="7"/>
      <c r="AS371" s="7"/>
      <c r="AT371" s="7"/>
      <c r="AU371" s="7"/>
      <c r="AV371" s="7"/>
      <c r="AW371" s="7"/>
      <c r="AX371" s="7"/>
    </row>
    <row r="372" spans="1:50" ht="15.75" customHeigh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2"/>
      <c r="AP372" s="7"/>
      <c r="AQ372" s="7"/>
      <c r="AR372" s="7"/>
      <c r="AS372" s="7"/>
      <c r="AT372" s="7"/>
      <c r="AU372" s="7"/>
      <c r="AV372" s="7"/>
      <c r="AW372" s="7"/>
      <c r="AX372" s="7"/>
    </row>
    <row r="373" spans="1:50" ht="15.75" customHeigh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2"/>
      <c r="AP373" s="7"/>
      <c r="AQ373" s="7"/>
      <c r="AR373" s="7"/>
      <c r="AS373" s="7"/>
      <c r="AT373" s="7"/>
      <c r="AU373" s="7"/>
      <c r="AV373" s="7"/>
      <c r="AW373" s="7"/>
      <c r="AX373" s="7"/>
    </row>
    <row r="374" spans="1:50" ht="15.75" customHeigh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2"/>
      <c r="AP374" s="7"/>
      <c r="AQ374" s="7"/>
      <c r="AR374" s="7"/>
      <c r="AS374" s="7"/>
      <c r="AT374" s="7"/>
      <c r="AU374" s="7"/>
      <c r="AV374" s="7"/>
      <c r="AW374" s="7"/>
      <c r="AX374" s="7"/>
    </row>
    <row r="375" spans="1:50" ht="15.75" customHeigh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2"/>
      <c r="AP375" s="7"/>
      <c r="AQ375" s="7"/>
      <c r="AR375" s="7"/>
      <c r="AS375" s="7"/>
      <c r="AT375" s="7"/>
      <c r="AU375" s="7"/>
      <c r="AV375" s="7"/>
      <c r="AW375" s="7"/>
      <c r="AX375" s="7"/>
    </row>
    <row r="376" spans="1:50" ht="15.75" customHeigh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2"/>
      <c r="AP376" s="7"/>
      <c r="AQ376" s="7"/>
      <c r="AR376" s="7"/>
      <c r="AS376" s="7"/>
      <c r="AT376" s="7"/>
      <c r="AU376" s="7"/>
      <c r="AV376" s="7"/>
      <c r="AW376" s="7"/>
      <c r="AX376" s="7"/>
    </row>
    <row r="377" spans="1:50" ht="15.75" customHeigh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2"/>
      <c r="AP377" s="7"/>
      <c r="AQ377" s="7"/>
      <c r="AR377" s="7"/>
      <c r="AS377" s="7"/>
      <c r="AT377" s="7"/>
      <c r="AU377" s="7"/>
      <c r="AV377" s="7"/>
      <c r="AW377" s="7"/>
      <c r="AX377" s="7"/>
    </row>
    <row r="378" spans="1:50" ht="15.75" customHeigh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2"/>
      <c r="AP378" s="7"/>
      <c r="AQ378" s="7"/>
      <c r="AR378" s="7"/>
      <c r="AS378" s="7"/>
      <c r="AT378" s="7"/>
      <c r="AU378" s="7"/>
      <c r="AV378" s="7"/>
      <c r="AW378" s="7"/>
      <c r="AX378" s="7"/>
    </row>
    <row r="379" spans="1:50" ht="15.75" customHeigh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2"/>
      <c r="AP379" s="7"/>
      <c r="AQ379" s="7"/>
      <c r="AR379" s="7"/>
      <c r="AS379" s="7"/>
      <c r="AT379" s="7"/>
      <c r="AU379" s="7"/>
      <c r="AV379" s="7"/>
      <c r="AW379" s="7"/>
      <c r="AX379" s="7"/>
    </row>
    <row r="380" spans="1:50" ht="15.75" customHeigh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2"/>
      <c r="AP380" s="7"/>
      <c r="AQ380" s="7"/>
      <c r="AR380" s="7"/>
      <c r="AS380" s="7"/>
      <c r="AT380" s="7"/>
      <c r="AU380" s="7"/>
      <c r="AV380" s="7"/>
      <c r="AW380" s="7"/>
      <c r="AX380" s="7"/>
    </row>
    <row r="381" spans="1:50" ht="15.75" customHeigh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2"/>
      <c r="AP381" s="7"/>
      <c r="AQ381" s="7"/>
      <c r="AR381" s="7"/>
      <c r="AS381" s="7"/>
      <c r="AT381" s="7"/>
      <c r="AU381" s="7"/>
      <c r="AV381" s="7"/>
      <c r="AW381" s="7"/>
      <c r="AX381" s="7"/>
    </row>
    <row r="382" spans="1:50" ht="15.75" customHeigh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2"/>
      <c r="AP382" s="7"/>
      <c r="AQ382" s="7"/>
      <c r="AR382" s="7"/>
      <c r="AS382" s="7"/>
      <c r="AT382" s="7"/>
      <c r="AU382" s="7"/>
      <c r="AV382" s="7"/>
      <c r="AW382" s="7"/>
      <c r="AX382" s="7"/>
    </row>
    <row r="383" spans="1:50" ht="15.75" customHeigh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2"/>
      <c r="AP383" s="7"/>
      <c r="AQ383" s="7"/>
      <c r="AR383" s="7"/>
      <c r="AS383" s="7"/>
      <c r="AT383" s="7"/>
      <c r="AU383" s="7"/>
      <c r="AV383" s="7"/>
      <c r="AW383" s="7"/>
      <c r="AX383" s="7"/>
    </row>
    <row r="384" spans="1:50" ht="15.75" customHeigh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2"/>
      <c r="AP384" s="7"/>
      <c r="AQ384" s="7"/>
      <c r="AR384" s="7"/>
      <c r="AS384" s="7"/>
      <c r="AT384" s="7"/>
      <c r="AU384" s="7"/>
      <c r="AV384" s="7"/>
      <c r="AW384" s="7"/>
      <c r="AX384" s="7"/>
    </row>
    <row r="385" spans="1:50" ht="15.75" customHeigh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2"/>
      <c r="AP385" s="7"/>
      <c r="AQ385" s="7"/>
      <c r="AR385" s="7"/>
      <c r="AS385" s="7"/>
      <c r="AT385" s="7"/>
      <c r="AU385" s="7"/>
      <c r="AV385" s="7"/>
      <c r="AW385" s="7"/>
      <c r="AX385" s="7"/>
    </row>
    <row r="386" spans="1:50" ht="15.75" customHeigh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2"/>
      <c r="AP386" s="7"/>
      <c r="AQ386" s="7"/>
      <c r="AR386" s="7"/>
      <c r="AS386" s="7"/>
      <c r="AT386" s="7"/>
      <c r="AU386" s="7"/>
      <c r="AV386" s="7"/>
      <c r="AW386" s="7"/>
      <c r="AX386" s="7"/>
    </row>
    <row r="387" spans="1:50" ht="15.75" customHeigh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2"/>
      <c r="AP387" s="7"/>
      <c r="AQ387" s="7"/>
      <c r="AR387" s="7"/>
      <c r="AS387" s="7"/>
      <c r="AT387" s="7"/>
      <c r="AU387" s="7"/>
      <c r="AV387" s="7"/>
      <c r="AW387" s="7"/>
      <c r="AX387" s="7"/>
    </row>
    <row r="388" spans="1:50" ht="15.75" customHeigh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2"/>
      <c r="AP388" s="7"/>
      <c r="AQ388" s="7"/>
      <c r="AR388" s="7"/>
      <c r="AS388" s="7"/>
      <c r="AT388" s="7"/>
      <c r="AU388" s="7"/>
      <c r="AV388" s="7"/>
      <c r="AW388" s="7"/>
      <c r="AX388" s="7"/>
    </row>
    <row r="389" spans="1:50" ht="15.75" customHeigh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2"/>
      <c r="AP389" s="7"/>
      <c r="AQ389" s="7"/>
      <c r="AR389" s="7"/>
      <c r="AS389" s="7"/>
      <c r="AT389" s="7"/>
      <c r="AU389" s="7"/>
      <c r="AV389" s="7"/>
      <c r="AW389" s="7"/>
      <c r="AX389" s="7"/>
    </row>
    <row r="390" spans="1:50" ht="15.75" customHeigh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2"/>
      <c r="AP390" s="7"/>
      <c r="AQ390" s="7"/>
      <c r="AR390" s="7"/>
      <c r="AS390" s="7"/>
      <c r="AT390" s="7"/>
      <c r="AU390" s="7"/>
      <c r="AV390" s="7"/>
      <c r="AW390" s="7"/>
      <c r="AX390" s="7"/>
    </row>
    <row r="391" spans="1:50" ht="15.75" customHeigh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2"/>
      <c r="AP391" s="7"/>
      <c r="AQ391" s="7"/>
      <c r="AR391" s="7"/>
      <c r="AS391" s="7"/>
      <c r="AT391" s="7"/>
      <c r="AU391" s="7"/>
      <c r="AV391" s="7"/>
      <c r="AW391" s="7"/>
      <c r="AX391" s="7"/>
    </row>
    <row r="392" spans="1:50" ht="15.75" customHeigh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2"/>
      <c r="AP392" s="7"/>
      <c r="AQ392" s="7"/>
      <c r="AR392" s="7"/>
      <c r="AS392" s="7"/>
      <c r="AT392" s="7"/>
      <c r="AU392" s="7"/>
      <c r="AV392" s="7"/>
      <c r="AW392" s="7"/>
      <c r="AX392" s="7"/>
    </row>
    <row r="393" spans="1:50" ht="15.75" customHeigh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2"/>
      <c r="AP393" s="7"/>
      <c r="AQ393" s="7"/>
      <c r="AR393" s="7"/>
      <c r="AS393" s="7"/>
      <c r="AT393" s="7"/>
      <c r="AU393" s="7"/>
      <c r="AV393" s="7"/>
      <c r="AW393" s="7"/>
      <c r="AX393" s="7"/>
    </row>
    <row r="394" spans="1:50" ht="15.75" customHeigh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2"/>
      <c r="AP394" s="7"/>
      <c r="AQ394" s="7"/>
      <c r="AR394" s="7"/>
      <c r="AS394" s="7"/>
      <c r="AT394" s="7"/>
      <c r="AU394" s="7"/>
      <c r="AV394" s="7"/>
      <c r="AW394" s="7"/>
      <c r="AX394" s="7"/>
    </row>
    <row r="395" spans="1:50" ht="15.75" customHeigh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2"/>
      <c r="AP395" s="7"/>
      <c r="AQ395" s="7"/>
      <c r="AR395" s="7"/>
      <c r="AS395" s="7"/>
      <c r="AT395" s="7"/>
      <c r="AU395" s="7"/>
      <c r="AV395" s="7"/>
      <c r="AW395" s="7"/>
      <c r="AX395" s="7"/>
    </row>
    <row r="396" spans="1:50" ht="15.75" customHeigh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2"/>
      <c r="AP396" s="7"/>
      <c r="AQ396" s="7"/>
      <c r="AR396" s="7"/>
      <c r="AS396" s="7"/>
      <c r="AT396" s="7"/>
      <c r="AU396" s="7"/>
      <c r="AV396" s="7"/>
      <c r="AW396" s="7"/>
      <c r="AX396" s="7"/>
    </row>
    <row r="397" spans="1:50" ht="15.75" customHeigh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2"/>
      <c r="AP397" s="7"/>
      <c r="AQ397" s="7"/>
      <c r="AR397" s="7"/>
      <c r="AS397" s="7"/>
      <c r="AT397" s="7"/>
      <c r="AU397" s="7"/>
      <c r="AV397" s="7"/>
      <c r="AW397" s="7"/>
      <c r="AX397" s="7"/>
    </row>
    <row r="398" spans="1:50" ht="15.75" customHeigh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2"/>
      <c r="AP398" s="7"/>
      <c r="AQ398" s="7"/>
      <c r="AR398" s="7"/>
      <c r="AS398" s="7"/>
      <c r="AT398" s="7"/>
      <c r="AU398" s="7"/>
      <c r="AV398" s="7"/>
      <c r="AW398" s="7"/>
      <c r="AX398" s="7"/>
    </row>
    <row r="399" spans="1:50" ht="15.75" customHeigh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2"/>
      <c r="AP399" s="7"/>
      <c r="AQ399" s="7"/>
      <c r="AR399" s="7"/>
      <c r="AS399" s="7"/>
      <c r="AT399" s="7"/>
      <c r="AU399" s="7"/>
      <c r="AV399" s="7"/>
      <c r="AW399" s="7"/>
      <c r="AX399" s="7"/>
    </row>
    <row r="400" spans="1:50" ht="15.75" customHeigh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2"/>
      <c r="AP400" s="7"/>
      <c r="AQ400" s="7"/>
      <c r="AR400" s="7"/>
      <c r="AS400" s="7"/>
      <c r="AT400" s="7"/>
      <c r="AU400" s="7"/>
      <c r="AV400" s="7"/>
      <c r="AW400" s="7"/>
      <c r="AX400" s="7"/>
    </row>
    <row r="401" spans="1:50" ht="15.75" customHeigh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2"/>
      <c r="AP401" s="7"/>
      <c r="AQ401" s="7"/>
      <c r="AR401" s="7"/>
      <c r="AS401" s="7"/>
      <c r="AT401" s="7"/>
      <c r="AU401" s="7"/>
      <c r="AV401" s="7"/>
      <c r="AW401" s="7"/>
      <c r="AX401" s="7"/>
    </row>
    <row r="402" spans="1:50" ht="15.75" customHeigh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2"/>
      <c r="AP402" s="7"/>
      <c r="AQ402" s="7"/>
      <c r="AR402" s="7"/>
      <c r="AS402" s="7"/>
      <c r="AT402" s="7"/>
      <c r="AU402" s="7"/>
      <c r="AV402" s="7"/>
      <c r="AW402" s="7"/>
      <c r="AX402" s="7"/>
    </row>
    <row r="403" spans="1:50" ht="15.75" customHeigh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2"/>
      <c r="AP403" s="7"/>
      <c r="AQ403" s="7"/>
      <c r="AR403" s="7"/>
      <c r="AS403" s="7"/>
      <c r="AT403" s="7"/>
      <c r="AU403" s="7"/>
      <c r="AV403" s="7"/>
      <c r="AW403" s="7"/>
      <c r="AX403" s="7"/>
    </row>
    <row r="404" spans="1:50" ht="15.75" customHeigh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2"/>
      <c r="AP404" s="7"/>
      <c r="AQ404" s="7"/>
      <c r="AR404" s="7"/>
      <c r="AS404" s="7"/>
      <c r="AT404" s="7"/>
      <c r="AU404" s="7"/>
      <c r="AV404" s="7"/>
      <c r="AW404" s="7"/>
      <c r="AX404" s="7"/>
    </row>
    <row r="405" spans="1:50" ht="15.75" customHeigh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2"/>
      <c r="AP405" s="7"/>
      <c r="AQ405" s="7"/>
      <c r="AR405" s="7"/>
      <c r="AS405" s="7"/>
      <c r="AT405" s="7"/>
      <c r="AU405" s="7"/>
      <c r="AV405" s="7"/>
      <c r="AW405" s="7"/>
      <c r="AX405" s="7"/>
    </row>
    <row r="406" spans="1:50" ht="15.75" customHeigh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2"/>
      <c r="AP406" s="7"/>
      <c r="AQ406" s="7"/>
      <c r="AR406" s="7"/>
      <c r="AS406" s="7"/>
      <c r="AT406" s="7"/>
      <c r="AU406" s="7"/>
      <c r="AV406" s="7"/>
      <c r="AW406" s="7"/>
      <c r="AX406" s="7"/>
    </row>
    <row r="407" spans="1:50" ht="15.75" customHeigh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2"/>
      <c r="AP407" s="7"/>
      <c r="AQ407" s="7"/>
      <c r="AR407" s="7"/>
      <c r="AS407" s="7"/>
      <c r="AT407" s="7"/>
      <c r="AU407" s="7"/>
      <c r="AV407" s="7"/>
      <c r="AW407" s="7"/>
      <c r="AX407" s="7"/>
    </row>
    <row r="408" spans="1:50" ht="15.75" customHeigh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2"/>
      <c r="AP408" s="7"/>
      <c r="AQ408" s="7"/>
      <c r="AR408" s="7"/>
      <c r="AS408" s="7"/>
      <c r="AT408" s="7"/>
      <c r="AU408" s="7"/>
      <c r="AV408" s="7"/>
      <c r="AW408" s="7"/>
      <c r="AX408" s="7"/>
    </row>
    <row r="409" spans="1:50" ht="15.75" customHeigh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2"/>
      <c r="AP409" s="7"/>
      <c r="AQ409" s="7"/>
      <c r="AR409" s="7"/>
      <c r="AS409" s="7"/>
      <c r="AT409" s="7"/>
      <c r="AU409" s="7"/>
      <c r="AV409" s="7"/>
      <c r="AW409" s="7"/>
      <c r="AX409" s="7"/>
    </row>
    <row r="410" spans="1:50" ht="15.75" customHeigh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2"/>
      <c r="AP410" s="7"/>
      <c r="AQ410" s="7"/>
      <c r="AR410" s="7"/>
      <c r="AS410" s="7"/>
      <c r="AT410" s="7"/>
      <c r="AU410" s="7"/>
      <c r="AV410" s="7"/>
      <c r="AW410" s="7"/>
      <c r="AX410" s="7"/>
    </row>
    <row r="411" spans="1:50" ht="15.75" customHeigh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2"/>
      <c r="AP411" s="7"/>
      <c r="AQ411" s="7"/>
      <c r="AR411" s="7"/>
      <c r="AS411" s="7"/>
      <c r="AT411" s="7"/>
      <c r="AU411" s="7"/>
      <c r="AV411" s="7"/>
      <c r="AW411" s="7"/>
      <c r="AX411" s="7"/>
    </row>
    <row r="412" spans="1:50" ht="15.75" customHeigh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2"/>
      <c r="AP412" s="7"/>
      <c r="AQ412" s="7"/>
      <c r="AR412" s="7"/>
      <c r="AS412" s="7"/>
      <c r="AT412" s="7"/>
      <c r="AU412" s="7"/>
      <c r="AV412" s="7"/>
      <c r="AW412" s="7"/>
      <c r="AX412" s="7"/>
    </row>
    <row r="413" spans="1:50" ht="15.75" customHeigh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2"/>
      <c r="AP413" s="7"/>
      <c r="AQ413" s="7"/>
      <c r="AR413" s="7"/>
      <c r="AS413" s="7"/>
      <c r="AT413" s="7"/>
      <c r="AU413" s="7"/>
      <c r="AV413" s="7"/>
      <c r="AW413" s="7"/>
      <c r="AX413" s="7"/>
    </row>
    <row r="414" spans="1:50" ht="15.75" customHeigh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2"/>
      <c r="AP414" s="7"/>
      <c r="AQ414" s="7"/>
      <c r="AR414" s="7"/>
      <c r="AS414" s="7"/>
      <c r="AT414" s="7"/>
      <c r="AU414" s="7"/>
      <c r="AV414" s="7"/>
      <c r="AW414" s="7"/>
      <c r="AX414" s="7"/>
    </row>
    <row r="415" spans="1:50" ht="15.75" customHeigh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2"/>
      <c r="AP415" s="7"/>
      <c r="AQ415" s="7"/>
      <c r="AR415" s="7"/>
      <c r="AS415" s="7"/>
      <c r="AT415" s="7"/>
      <c r="AU415" s="7"/>
      <c r="AV415" s="7"/>
      <c r="AW415" s="7"/>
      <c r="AX415" s="7"/>
    </row>
    <row r="416" spans="1:50" ht="15.75" customHeigh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2"/>
      <c r="AP416" s="7"/>
      <c r="AQ416" s="7"/>
      <c r="AR416" s="7"/>
      <c r="AS416" s="7"/>
      <c r="AT416" s="7"/>
      <c r="AU416" s="7"/>
      <c r="AV416" s="7"/>
      <c r="AW416" s="7"/>
      <c r="AX416" s="7"/>
    </row>
    <row r="417" spans="1:50" ht="15.75" customHeigh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2"/>
      <c r="AP417" s="7"/>
      <c r="AQ417" s="7"/>
      <c r="AR417" s="7"/>
      <c r="AS417" s="7"/>
      <c r="AT417" s="7"/>
      <c r="AU417" s="7"/>
      <c r="AV417" s="7"/>
      <c r="AW417" s="7"/>
      <c r="AX417" s="7"/>
    </row>
    <row r="418" spans="1:50" ht="15.75" customHeigh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2"/>
      <c r="AP418" s="7"/>
      <c r="AQ418" s="7"/>
      <c r="AR418" s="7"/>
      <c r="AS418" s="7"/>
      <c r="AT418" s="7"/>
      <c r="AU418" s="7"/>
      <c r="AV418" s="7"/>
      <c r="AW418" s="7"/>
      <c r="AX418" s="7"/>
    </row>
    <row r="419" spans="1:50" ht="15.75" customHeigh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2"/>
      <c r="AP419" s="7"/>
      <c r="AQ419" s="7"/>
      <c r="AR419" s="7"/>
      <c r="AS419" s="7"/>
      <c r="AT419" s="7"/>
      <c r="AU419" s="7"/>
      <c r="AV419" s="7"/>
      <c r="AW419" s="7"/>
      <c r="AX419" s="7"/>
    </row>
    <row r="420" spans="1:50" ht="15.75" customHeigh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2"/>
      <c r="AP420" s="7"/>
      <c r="AQ420" s="7"/>
      <c r="AR420" s="7"/>
      <c r="AS420" s="7"/>
      <c r="AT420" s="7"/>
      <c r="AU420" s="7"/>
      <c r="AV420" s="7"/>
      <c r="AW420" s="7"/>
      <c r="AX420" s="7"/>
    </row>
    <row r="421" spans="1:50" ht="15.75" customHeigh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2"/>
      <c r="AP421" s="7"/>
      <c r="AQ421" s="7"/>
      <c r="AR421" s="7"/>
      <c r="AS421" s="7"/>
      <c r="AT421" s="7"/>
      <c r="AU421" s="7"/>
      <c r="AV421" s="7"/>
      <c r="AW421" s="7"/>
      <c r="AX421" s="7"/>
    </row>
    <row r="422" spans="1:50" ht="15.75" customHeigh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2"/>
      <c r="AP422" s="7"/>
      <c r="AQ422" s="7"/>
      <c r="AR422" s="7"/>
      <c r="AS422" s="7"/>
      <c r="AT422" s="7"/>
      <c r="AU422" s="7"/>
      <c r="AV422" s="7"/>
      <c r="AW422" s="7"/>
      <c r="AX422" s="7"/>
    </row>
    <row r="423" spans="1:50" ht="15.75" customHeigh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2"/>
      <c r="AP423" s="7"/>
      <c r="AQ423" s="7"/>
      <c r="AR423" s="7"/>
      <c r="AS423" s="7"/>
      <c r="AT423" s="7"/>
      <c r="AU423" s="7"/>
      <c r="AV423" s="7"/>
      <c r="AW423" s="7"/>
      <c r="AX423" s="7"/>
    </row>
    <row r="424" spans="1:50" ht="15.75" customHeigh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2"/>
      <c r="AP424" s="7"/>
      <c r="AQ424" s="7"/>
      <c r="AR424" s="7"/>
      <c r="AS424" s="7"/>
      <c r="AT424" s="7"/>
      <c r="AU424" s="7"/>
      <c r="AV424" s="7"/>
      <c r="AW424" s="7"/>
      <c r="AX424" s="7"/>
    </row>
    <row r="425" spans="1:50" ht="15.75" customHeigh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2"/>
      <c r="AP425" s="7"/>
      <c r="AQ425" s="7"/>
      <c r="AR425" s="7"/>
      <c r="AS425" s="7"/>
      <c r="AT425" s="7"/>
      <c r="AU425" s="7"/>
      <c r="AV425" s="7"/>
      <c r="AW425" s="7"/>
      <c r="AX425" s="7"/>
    </row>
    <row r="426" spans="1:50" ht="15.75" customHeigh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2"/>
      <c r="AP426" s="7"/>
      <c r="AQ426" s="7"/>
      <c r="AR426" s="7"/>
      <c r="AS426" s="7"/>
      <c r="AT426" s="7"/>
      <c r="AU426" s="7"/>
      <c r="AV426" s="7"/>
      <c r="AW426" s="7"/>
      <c r="AX426" s="7"/>
    </row>
    <row r="427" spans="1:50" ht="15.75" customHeigh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2"/>
      <c r="AP427" s="7"/>
      <c r="AQ427" s="7"/>
      <c r="AR427" s="7"/>
      <c r="AS427" s="7"/>
      <c r="AT427" s="7"/>
      <c r="AU427" s="7"/>
      <c r="AV427" s="7"/>
      <c r="AW427" s="7"/>
      <c r="AX427" s="7"/>
    </row>
    <row r="428" spans="1:50" ht="15.75" customHeigh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2"/>
      <c r="AP428" s="7"/>
      <c r="AQ428" s="7"/>
      <c r="AR428" s="7"/>
      <c r="AS428" s="7"/>
      <c r="AT428" s="7"/>
      <c r="AU428" s="7"/>
      <c r="AV428" s="7"/>
      <c r="AW428" s="7"/>
      <c r="AX428" s="7"/>
    </row>
    <row r="429" spans="1:50" ht="15.75" customHeigh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2"/>
      <c r="AP429" s="7"/>
      <c r="AQ429" s="7"/>
      <c r="AR429" s="7"/>
      <c r="AS429" s="7"/>
      <c r="AT429" s="7"/>
      <c r="AU429" s="7"/>
      <c r="AV429" s="7"/>
      <c r="AW429" s="7"/>
      <c r="AX429" s="7"/>
    </row>
    <row r="430" spans="1:50" ht="15.75" customHeigh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2"/>
      <c r="AP430" s="7"/>
      <c r="AQ430" s="7"/>
      <c r="AR430" s="7"/>
      <c r="AS430" s="7"/>
      <c r="AT430" s="7"/>
      <c r="AU430" s="7"/>
      <c r="AV430" s="7"/>
      <c r="AW430" s="7"/>
      <c r="AX430" s="7"/>
    </row>
    <row r="431" spans="1:50" ht="15.75" customHeigh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2"/>
      <c r="AP431" s="7"/>
      <c r="AQ431" s="7"/>
      <c r="AR431" s="7"/>
      <c r="AS431" s="7"/>
      <c r="AT431" s="7"/>
      <c r="AU431" s="7"/>
      <c r="AV431" s="7"/>
      <c r="AW431" s="7"/>
      <c r="AX431" s="7"/>
    </row>
    <row r="432" spans="1:50" ht="15.75" customHeigh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2"/>
      <c r="AP432" s="7"/>
      <c r="AQ432" s="7"/>
      <c r="AR432" s="7"/>
      <c r="AS432" s="7"/>
      <c r="AT432" s="7"/>
      <c r="AU432" s="7"/>
      <c r="AV432" s="7"/>
      <c r="AW432" s="7"/>
      <c r="AX432" s="7"/>
    </row>
    <row r="433" spans="1:50" ht="15.75" customHeigh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2"/>
      <c r="AP433" s="7"/>
      <c r="AQ433" s="7"/>
      <c r="AR433" s="7"/>
      <c r="AS433" s="7"/>
      <c r="AT433" s="7"/>
      <c r="AU433" s="7"/>
      <c r="AV433" s="7"/>
      <c r="AW433" s="7"/>
      <c r="AX433" s="7"/>
    </row>
    <row r="434" spans="1:50" ht="15.75" customHeigh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2"/>
      <c r="AP434" s="7"/>
      <c r="AQ434" s="7"/>
      <c r="AR434" s="7"/>
      <c r="AS434" s="7"/>
      <c r="AT434" s="7"/>
      <c r="AU434" s="7"/>
      <c r="AV434" s="7"/>
      <c r="AW434" s="7"/>
      <c r="AX434" s="7"/>
    </row>
    <row r="435" spans="1:50" ht="15.75" customHeigh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2"/>
      <c r="AP435" s="7"/>
      <c r="AQ435" s="7"/>
      <c r="AR435" s="7"/>
      <c r="AS435" s="7"/>
      <c r="AT435" s="7"/>
      <c r="AU435" s="7"/>
      <c r="AV435" s="7"/>
      <c r="AW435" s="7"/>
      <c r="AX435" s="7"/>
    </row>
    <row r="436" spans="1:50" ht="15.75" customHeigh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2"/>
      <c r="AP436" s="7"/>
      <c r="AQ436" s="7"/>
      <c r="AR436" s="7"/>
      <c r="AS436" s="7"/>
      <c r="AT436" s="7"/>
      <c r="AU436" s="7"/>
      <c r="AV436" s="7"/>
      <c r="AW436" s="7"/>
      <c r="AX436" s="7"/>
    </row>
    <row r="437" spans="1:50" ht="15.75" customHeigh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2"/>
      <c r="AP437" s="7"/>
      <c r="AQ437" s="7"/>
      <c r="AR437" s="7"/>
      <c r="AS437" s="7"/>
      <c r="AT437" s="7"/>
      <c r="AU437" s="7"/>
      <c r="AV437" s="7"/>
      <c r="AW437" s="7"/>
      <c r="AX437" s="7"/>
    </row>
    <row r="438" spans="1:50" ht="15.75" customHeigh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2"/>
      <c r="AP438" s="7"/>
      <c r="AQ438" s="7"/>
      <c r="AR438" s="7"/>
      <c r="AS438" s="7"/>
      <c r="AT438" s="7"/>
      <c r="AU438" s="7"/>
      <c r="AV438" s="7"/>
      <c r="AW438" s="7"/>
      <c r="AX438" s="7"/>
    </row>
    <row r="439" spans="1:50" ht="15.75" customHeigh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2"/>
      <c r="AP439" s="7"/>
      <c r="AQ439" s="7"/>
      <c r="AR439" s="7"/>
      <c r="AS439" s="7"/>
      <c r="AT439" s="7"/>
      <c r="AU439" s="7"/>
      <c r="AV439" s="7"/>
      <c r="AW439" s="7"/>
      <c r="AX439" s="7"/>
    </row>
    <row r="440" spans="1:50" ht="15.75" customHeigh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2"/>
      <c r="AP440" s="7"/>
      <c r="AQ440" s="7"/>
      <c r="AR440" s="7"/>
      <c r="AS440" s="7"/>
      <c r="AT440" s="7"/>
      <c r="AU440" s="7"/>
      <c r="AV440" s="7"/>
      <c r="AW440" s="7"/>
      <c r="AX440" s="7"/>
    </row>
    <row r="441" spans="1:50" ht="15.75" customHeigh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2"/>
      <c r="AP441" s="7"/>
      <c r="AQ441" s="7"/>
      <c r="AR441" s="7"/>
      <c r="AS441" s="7"/>
      <c r="AT441" s="7"/>
      <c r="AU441" s="7"/>
      <c r="AV441" s="7"/>
      <c r="AW441" s="7"/>
      <c r="AX441" s="7"/>
    </row>
    <row r="442" spans="1:50" ht="15.75" customHeigh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2"/>
      <c r="AP442" s="7"/>
      <c r="AQ442" s="7"/>
      <c r="AR442" s="7"/>
      <c r="AS442" s="7"/>
      <c r="AT442" s="7"/>
      <c r="AU442" s="7"/>
      <c r="AV442" s="7"/>
      <c r="AW442" s="7"/>
      <c r="AX442" s="7"/>
    </row>
    <row r="443" spans="1:50" ht="15.75" customHeigh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2"/>
      <c r="AP443" s="7"/>
      <c r="AQ443" s="7"/>
      <c r="AR443" s="7"/>
      <c r="AS443" s="7"/>
      <c r="AT443" s="7"/>
      <c r="AU443" s="7"/>
      <c r="AV443" s="7"/>
      <c r="AW443" s="7"/>
      <c r="AX443" s="7"/>
    </row>
    <row r="444" spans="1:50" ht="15.75" customHeigh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2"/>
      <c r="AP444" s="7"/>
      <c r="AQ444" s="7"/>
      <c r="AR444" s="7"/>
      <c r="AS444" s="7"/>
      <c r="AT444" s="7"/>
      <c r="AU444" s="7"/>
      <c r="AV444" s="7"/>
      <c r="AW444" s="7"/>
      <c r="AX444" s="7"/>
    </row>
    <row r="445" spans="1:50" ht="15.75" customHeigh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2"/>
      <c r="AP445" s="7"/>
      <c r="AQ445" s="7"/>
      <c r="AR445" s="7"/>
      <c r="AS445" s="7"/>
      <c r="AT445" s="7"/>
      <c r="AU445" s="7"/>
      <c r="AV445" s="7"/>
      <c r="AW445" s="7"/>
      <c r="AX445" s="7"/>
    </row>
    <row r="446" spans="1:50" ht="15.75" customHeigh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2"/>
      <c r="AP446" s="7"/>
      <c r="AQ446" s="7"/>
      <c r="AR446" s="7"/>
      <c r="AS446" s="7"/>
      <c r="AT446" s="7"/>
      <c r="AU446" s="7"/>
      <c r="AV446" s="7"/>
      <c r="AW446" s="7"/>
      <c r="AX446" s="7"/>
    </row>
    <row r="447" spans="1:50" ht="15.75" customHeigh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2"/>
      <c r="AP447" s="7"/>
      <c r="AQ447" s="7"/>
      <c r="AR447" s="7"/>
      <c r="AS447" s="7"/>
      <c r="AT447" s="7"/>
      <c r="AU447" s="7"/>
      <c r="AV447" s="7"/>
      <c r="AW447" s="7"/>
      <c r="AX447" s="7"/>
    </row>
    <row r="448" spans="1:50" ht="15.75" customHeigh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2"/>
      <c r="AP448" s="7"/>
      <c r="AQ448" s="7"/>
      <c r="AR448" s="7"/>
      <c r="AS448" s="7"/>
      <c r="AT448" s="7"/>
      <c r="AU448" s="7"/>
      <c r="AV448" s="7"/>
      <c r="AW448" s="7"/>
      <c r="AX448" s="7"/>
    </row>
    <row r="449" spans="1:50" ht="15.75" customHeigh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2"/>
      <c r="AP449" s="7"/>
      <c r="AQ449" s="7"/>
      <c r="AR449" s="7"/>
      <c r="AS449" s="7"/>
      <c r="AT449" s="7"/>
      <c r="AU449" s="7"/>
      <c r="AV449" s="7"/>
      <c r="AW449" s="7"/>
      <c r="AX449" s="7"/>
    </row>
    <row r="450" spans="1:50" ht="15.75" customHeigh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2"/>
      <c r="AP450" s="7"/>
      <c r="AQ450" s="7"/>
      <c r="AR450" s="7"/>
      <c r="AS450" s="7"/>
      <c r="AT450" s="7"/>
      <c r="AU450" s="7"/>
      <c r="AV450" s="7"/>
      <c r="AW450" s="7"/>
      <c r="AX450" s="7"/>
    </row>
    <row r="451" spans="1:50" ht="15.75" customHeigh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2"/>
      <c r="AP451" s="7"/>
      <c r="AQ451" s="7"/>
      <c r="AR451" s="7"/>
      <c r="AS451" s="7"/>
      <c r="AT451" s="7"/>
      <c r="AU451" s="7"/>
      <c r="AV451" s="7"/>
      <c r="AW451" s="7"/>
      <c r="AX451" s="7"/>
    </row>
    <row r="452" spans="1:50" ht="15.75" customHeigh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2"/>
      <c r="AP452" s="7"/>
      <c r="AQ452" s="7"/>
      <c r="AR452" s="7"/>
      <c r="AS452" s="7"/>
      <c r="AT452" s="7"/>
      <c r="AU452" s="7"/>
      <c r="AV452" s="7"/>
      <c r="AW452" s="7"/>
      <c r="AX452" s="7"/>
    </row>
    <row r="453" spans="1:50" ht="15.75" customHeigh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2"/>
      <c r="AP453" s="7"/>
      <c r="AQ453" s="7"/>
      <c r="AR453" s="7"/>
      <c r="AS453" s="7"/>
      <c r="AT453" s="7"/>
      <c r="AU453" s="7"/>
      <c r="AV453" s="7"/>
      <c r="AW453" s="7"/>
      <c r="AX453" s="7"/>
    </row>
    <row r="454" spans="1:50" ht="15.75" customHeigh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2"/>
      <c r="AP454" s="7"/>
      <c r="AQ454" s="7"/>
      <c r="AR454" s="7"/>
      <c r="AS454" s="7"/>
      <c r="AT454" s="7"/>
      <c r="AU454" s="7"/>
      <c r="AV454" s="7"/>
      <c r="AW454" s="7"/>
      <c r="AX454" s="7"/>
    </row>
    <row r="455" spans="1:50" ht="15.75" customHeigh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2"/>
      <c r="AP455" s="7"/>
      <c r="AQ455" s="7"/>
      <c r="AR455" s="7"/>
      <c r="AS455" s="7"/>
      <c r="AT455" s="7"/>
      <c r="AU455" s="7"/>
      <c r="AV455" s="7"/>
      <c r="AW455" s="7"/>
      <c r="AX455" s="7"/>
    </row>
    <row r="456" spans="1:50" ht="15.75" customHeigh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2"/>
      <c r="AP456" s="7"/>
      <c r="AQ456" s="7"/>
      <c r="AR456" s="7"/>
      <c r="AS456" s="7"/>
      <c r="AT456" s="7"/>
      <c r="AU456" s="7"/>
      <c r="AV456" s="7"/>
      <c r="AW456" s="7"/>
      <c r="AX456" s="7"/>
    </row>
    <row r="457" spans="1:50" ht="15.75" customHeigh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2"/>
      <c r="AP457" s="7"/>
      <c r="AQ457" s="7"/>
      <c r="AR457" s="7"/>
      <c r="AS457" s="7"/>
      <c r="AT457" s="7"/>
      <c r="AU457" s="7"/>
      <c r="AV457" s="7"/>
      <c r="AW457" s="7"/>
      <c r="AX457" s="7"/>
    </row>
    <row r="458" spans="1:50" ht="15.75" customHeigh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2"/>
      <c r="AP458" s="7"/>
      <c r="AQ458" s="7"/>
      <c r="AR458" s="7"/>
      <c r="AS458" s="7"/>
      <c r="AT458" s="7"/>
      <c r="AU458" s="7"/>
      <c r="AV458" s="7"/>
      <c r="AW458" s="7"/>
      <c r="AX458" s="7"/>
    </row>
    <row r="459" spans="1:50" ht="15.75" customHeigh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2"/>
      <c r="AP459" s="7"/>
      <c r="AQ459" s="7"/>
      <c r="AR459" s="7"/>
      <c r="AS459" s="7"/>
      <c r="AT459" s="7"/>
      <c r="AU459" s="7"/>
      <c r="AV459" s="7"/>
      <c r="AW459" s="7"/>
      <c r="AX459" s="7"/>
    </row>
    <row r="460" spans="1:50" ht="15.75" customHeigh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2"/>
      <c r="AP460" s="7"/>
      <c r="AQ460" s="7"/>
      <c r="AR460" s="7"/>
      <c r="AS460" s="7"/>
      <c r="AT460" s="7"/>
      <c r="AU460" s="7"/>
      <c r="AV460" s="7"/>
      <c r="AW460" s="7"/>
      <c r="AX460" s="7"/>
    </row>
    <row r="461" spans="1:50" ht="15.75" customHeigh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2"/>
      <c r="AP461" s="7"/>
      <c r="AQ461" s="7"/>
      <c r="AR461" s="7"/>
      <c r="AS461" s="7"/>
      <c r="AT461" s="7"/>
      <c r="AU461" s="7"/>
      <c r="AV461" s="7"/>
      <c r="AW461" s="7"/>
      <c r="AX461" s="7"/>
    </row>
    <row r="462" spans="1:50" ht="15.75" customHeigh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2"/>
      <c r="AP462" s="7"/>
      <c r="AQ462" s="7"/>
      <c r="AR462" s="7"/>
      <c r="AS462" s="7"/>
      <c r="AT462" s="7"/>
      <c r="AU462" s="7"/>
      <c r="AV462" s="7"/>
      <c r="AW462" s="7"/>
      <c r="AX462" s="7"/>
    </row>
    <row r="463" spans="1:50" ht="15.75" customHeigh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2"/>
      <c r="AP463" s="7"/>
      <c r="AQ463" s="7"/>
      <c r="AR463" s="7"/>
      <c r="AS463" s="7"/>
      <c r="AT463" s="7"/>
      <c r="AU463" s="7"/>
      <c r="AV463" s="7"/>
      <c r="AW463" s="7"/>
      <c r="AX463" s="7"/>
    </row>
    <row r="464" spans="1:50" ht="15.75" customHeigh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2"/>
      <c r="AP464" s="7"/>
      <c r="AQ464" s="7"/>
      <c r="AR464" s="7"/>
      <c r="AS464" s="7"/>
      <c r="AT464" s="7"/>
      <c r="AU464" s="7"/>
      <c r="AV464" s="7"/>
      <c r="AW464" s="7"/>
      <c r="AX464" s="7"/>
    </row>
    <row r="465" spans="1:50" ht="15.75" customHeigh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2"/>
      <c r="AP465" s="7"/>
      <c r="AQ465" s="7"/>
      <c r="AR465" s="7"/>
      <c r="AS465" s="7"/>
      <c r="AT465" s="7"/>
      <c r="AU465" s="7"/>
      <c r="AV465" s="7"/>
      <c r="AW465" s="7"/>
      <c r="AX465" s="7"/>
    </row>
    <row r="466" spans="1:50" ht="15.75" customHeigh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2"/>
      <c r="AP466" s="7"/>
      <c r="AQ466" s="7"/>
      <c r="AR466" s="7"/>
      <c r="AS466" s="7"/>
      <c r="AT466" s="7"/>
      <c r="AU466" s="7"/>
      <c r="AV466" s="7"/>
      <c r="AW466" s="7"/>
      <c r="AX466" s="7"/>
    </row>
    <row r="467" spans="1:50" ht="15.75" customHeigh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2"/>
      <c r="AP467" s="7"/>
      <c r="AQ467" s="7"/>
      <c r="AR467" s="7"/>
      <c r="AS467" s="7"/>
      <c r="AT467" s="7"/>
      <c r="AU467" s="7"/>
      <c r="AV467" s="7"/>
      <c r="AW467" s="7"/>
      <c r="AX467" s="7"/>
    </row>
    <row r="468" spans="1:50" ht="15.75" customHeigh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2"/>
      <c r="AP468" s="7"/>
      <c r="AQ468" s="7"/>
      <c r="AR468" s="7"/>
      <c r="AS468" s="7"/>
      <c r="AT468" s="7"/>
      <c r="AU468" s="7"/>
      <c r="AV468" s="7"/>
      <c r="AW468" s="7"/>
      <c r="AX468" s="7"/>
    </row>
    <row r="469" spans="1:50" ht="15.75" customHeigh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2"/>
      <c r="AP469" s="7"/>
      <c r="AQ469" s="7"/>
      <c r="AR469" s="7"/>
      <c r="AS469" s="7"/>
      <c r="AT469" s="7"/>
      <c r="AU469" s="7"/>
      <c r="AV469" s="7"/>
      <c r="AW469" s="7"/>
      <c r="AX469" s="7"/>
    </row>
    <row r="470" spans="1:50" ht="15.75" customHeigh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2"/>
      <c r="AP470" s="7"/>
      <c r="AQ470" s="7"/>
      <c r="AR470" s="7"/>
      <c r="AS470" s="7"/>
      <c r="AT470" s="7"/>
      <c r="AU470" s="7"/>
      <c r="AV470" s="7"/>
      <c r="AW470" s="7"/>
      <c r="AX470" s="7"/>
    </row>
    <row r="471" spans="1:50" ht="15.75" customHeigh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2"/>
      <c r="AP471" s="7"/>
      <c r="AQ471" s="7"/>
      <c r="AR471" s="7"/>
      <c r="AS471" s="7"/>
      <c r="AT471" s="7"/>
      <c r="AU471" s="7"/>
      <c r="AV471" s="7"/>
      <c r="AW471" s="7"/>
      <c r="AX471" s="7"/>
    </row>
    <row r="472" spans="1:50" ht="15.75" customHeigh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2"/>
      <c r="AP472" s="7"/>
      <c r="AQ472" s="7"/>
      <c r="AR472" s="7"/>
      <c r="AS472" s="7"/>
      <c r="AT472" s="7"/>
      <c r="AU472" s="7"/>
      <c r="AV472" s="7"/>
      <c r="AW472" s="7"/>
      <c r="AX472" s="7"/>
    </row>
    <row r="473" spans="1:50" ht="15.75" customHeigh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2"/>
      <c r="AP473" s="7"/>
      <c r="AQ473" s="7"/>
      <c r="AR473" s="7"/>
      <c r="AS473" s="7"/>
      <c r="AT473" s="7"/>
      <c r="AU473" s="7"/>
      <c r="AV473" s="7"/>
      <c r="AW473" s="7"/>
      <c r="AX473" s="7"/>
    </row>
    <row r="474" spans="1:50" ht="15.75" customHeigh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2"/>
      <c r="AP474" s="7"/>
      <c r="AQ474" s="7"/>
      <c r="AR474" s="7"/>
      <c r="AS474" s="7"/>
      <c r="AT474" s="7"/>
      <c r="AU474" s="7"/>
      <c r="AV474" s="7"/>
      <c r="AW474" s="7"/>
      <c r="AX474" s="7"/>
    </row>
    <row r="475" spans="1:50" ht="15.75" customHeigh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2"/>
      <c r="AP475" s="7"/>
      <c r="AQ475" s="7"/>
      <c r="AR475" s="7"/>
      <c r="AS475" s="7"/>
      <c r="AT475" s="7"/>
      <c r="AU475" s="7"/>
      <c r="AV475" s="7"/>
      <c r="AW475" s="7"/>
      <c r="AX475" s="7"/>
    </row>
    <row r="476" spans="1:50" ht="15.75" customHeigh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2"/>
      <c r="AP476" s="7"/>
      <c r="AQ476" s="7"/>
      <c r="AR476" s="7"/>
      <c r="AS476" s="7"/>
      <c r="AT476" s="7"/>
      <c r="AU476" s="7"/>
      <c r="AV476" s="7"/>
      <c r="AW476" s="7"/>
      <c r="AX476" s="7"/>
    </row>
    <row r="477" spans="1:50" ht="15.75" customHeigh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2"/>
      <c r="AP477" s="7"/>
      <c r="AQ477" s="7"/>
      <c r="AR477" s="7"/>
      <c r="AS477" s="7"/>
      <c r="AT477" s="7"/>
      <c r="AU477" s="7"/>
      <c r="AV477" s="7"/>
      <c r="AW477" s="7"/>
      <c r="AX477" s="7"/>
    </row>
    <row r="478" spans="1:50" ht="15.75" customHeigh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2"/>
      <c r="AP478" s="7"/>
      <c r="AQ478" s="7"/>
      <c r="AR478" s="7"/>
      <c r="AS478" s="7"/>
      <c r="AT478" s="7"/>
      <c r="AU478" s="7"/>
      <c r="AV478" s="7"/>
      <c r="AW478" s="7"/>
      <c r="AX478" s="7"/>
    </row>
    <row r="479" spans="1:50" ht="15.75" customHeigh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2"/>
      <c r="AP479" s="7"/>
      <c r="AQ479" s="7"/>
      <c r="AR479" s="7"/>
      <c r="AS479" s="7"/>
      <c r="AT479" s="7"/>
      <c r="AU479" s="7"/>
      <c r="AV479" s="7"/>
      <c r="AW479" s="7"/>
      <c r="AX479" s="7"/>
    </row>
    <row r="480" spans="1:50" ht="15.75" customHeigh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2"/>
      <c r="AP480" s="7"/>
      <c r="AQ480" s="7"/>
      <c r="AR480" s="7"/>
      <c r="AS480" s="7"/>
      <c r="AT480" s="7"/>
      <c r="AU480" s="7"/>
      <c r="AV480" s="7"/>
      <c r="AW480" s="7"/>
      <c r="AX480" s="7"/>
    </row>
    <row r="481" spans="1:50" ht="15.75" customHeigh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2"/>
      <c r="AP481" s="7"/>
      <c r="AQ481" s="7"/>
      <c r="AR481" s="7"/>
      <c r="AS481" s="7"/>
      <c r="AT481" s="7"/>
      <c r="AU481" s="7"/>
      <c r="AV481" s="7"/>
      <c r="AW481" s="7"/>
      <c r="AX481" s="7"/>
    </row>
    <row r="482" spans="1:50" ht="15.75" customHeigh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2"/>
      <c r="AP482" s="7"/>
      <c r="AQ482" s="7"/>
      <c r="AR482" s="7"/>
      <c r="AS482" s="7"/>
      <c r="AT482" s="7"/>
      <c r="AU482" s="7"/>
      <c r="AV482" s="7"/>
      <c r="AW482" s="7"/>
      <c r="AX482" s="7"/>
    </row>
    <row r="483" spans="1:50" ht="15.75" customHeigh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2"/>
      <c r="AP483" s="7"/>
      <c r="AQ483" s="7"/>
      <c r="AR483" s="7"/>
      <c r="AS483" s="7"/>
      <c r="AT483" s="7"/>
      <c r="AU483" s="7"/>
      <c r="AV483" s="7"/>
      <c r="AW483" s="7"/>
      <c r="AX483" s="7"/>
    </row>
    <row r="484" spans="1:50" ht="15.75" customHeigh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2"/>
      <c r="AP484" s="7"/>
      <c r="AQ484" s="7"/>
      <c r="AR484" s="7"/>
      <c r="AS484" s="7"/>
      <c r="AT484" s="7"/>
      <c r="AU484" s="7"/>
      <c r="AV484" s="7"/>
      <c r="AW484" s="7"/>
      <c r="AX484" s="7"/>
    </row>
    <row r="485" spans="1:50" ht="15.75" customHeigh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2"/>
      <c r="AP485" s="7"/>
      <c r="AQ485" s="7"/>
      <c r="AR485" s="7"/>
      <c r="AS485" s="7"/>
      <c r="AT485" s="7"/>
      <c r="AU485" s="7"/>
      <c r="AV485" s="7"/>
      <c r="AW485" s="7"/>
      <c r="AX485" s="7"/>
    </row>
    <row r="486" spans="1:50" ht="15.75" customHeigh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2"/>
      <c r="AP486" s="7"/>
      <c r="AQ486" s="7"/>
      <c r="AR486" s="7"/>
      <c r="AS486" s="7"/>
      <c r="AT486" s="7"/>
      <c r="AU486" s="7"/>
      <c r="AV486" s="7"/>
      <c r="AW486" s="7"/>
      <c r="AX486" s="7"/>
    </row>
    <row r="487" spans="1:50" ht="15.75" customHeigh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2"/>
      <c r="AP487" s="7"/>
      <c r="AQ487" s="7"/>
      <c r="AR487" s="7"/>
      <c r="AS487" s="7"/>
      <c r="AT487" s="7"/>
      <c r="AU487" s="7"/>
      <c r="AV487" s="7"/>
      <c r="AW487" s="7"/>
      <c r="AX487" s="7"/>
    </row>
    <row r="488" spans="1:50" ht="15.75" customHeigh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2"/>
      <c r="AP488" s="7"/>
      <c r="AQ488" s="7"/>
      <c r="AR488" s="7"/>
      <c r="AS488" s="7"/>
      <c r="AT488" s="7"/>
      <c r="AU488" s="7"/>
      <c r="AV488" s="7"/>
      <c r="AW488" s="7"/>
      <c r="AX488" s="7"/>
    </row>
    <row r="489" spans="1:50" ht="15.75" customHeigh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2"/>
      <c r="AP489" s="7"/>
      <c r="AQ489" s="7"/>
      <c r="AR489" s="7"/>
      <c r="AS489" s="7"/>
      <c r="AT489" s="7"/>
      <c r="AU489" s="7"/>
      <c r="AV489" s="7"/>
      <c r="AW489" s="7"/>
      <c r="AX489" s="7"/>
    </row>
    <row r="490" spans="1:50" ht="15.75" customHeigh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2"/>
      <c r="AP490" s="7"/>
      <c r="AQ490" s="7"/>
      <c r="AR490" s="7"/>
      <c r="AS490" s="7"/>
      <c r="AT490" s="7"/>
      <c r="AU490" s="7"/>
      <c r="AV490" s="7"/>
      <c r="AW490" s="7"/>
      <c r="AX490" s="7"/>
    </row>
    <row r="491" spans="1:50" ht="15.75" customHeigh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2"/>
      <c r="AP491" s="7"/>
      <c r="AQ491" s="7"/>
      <c r="AR491" s="7"/>
      <c r="AS491" s="7"/>
      <c r="AT491" s="7"/>
      <c r="AU491" s="7"/>
      <c r="AV491" s="7"/>
      <c r="AW491" s="7"/>
      <c r="AX491" s="7"/>
    </row>
    <row r="492" spans="1:50" ht="15.75" customHeigh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2"/>
      <c r="AP492" s="7"/>
      <c r="AQ492" s="7"/>
      <c r="AR492" s="7"/>
      <c r="AS492" s="7"/>
      <c r="AT492" s="7"/>
      <c r="AU492" s="7"/>
      <c r="AV492" s="7"/>
      <c r="AW492" s="7"/>
      <c r="AX492" s="7"/>
    </row>
    <row r="493" spans="1:50" ht="15.75" customHeigh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2"/>
      <c r="AP493" s="7"/>
      <c r="AQ493" s="7"/>
      <c r="AR493" s="7"/>
      <c r="AS493" s="7"/>
      <c r="AT493" s="7"/>
      <c r="AU493" s="7"/>
      <c r="AV493" s="7"/>
      <c r="AW493" s="7"/>
      <c r="AX493" s="7"/>
    </row>
    <row r="494" spans="1:50" ht="15.75" customHeigh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2"/>
      <c r="AP494" s="7"/>
      <c r="AQ494" s="7"/>
      <c r="AR494" s="7"/>
      <c r="AS494" s="7"/>
      <c r="AT494" s="7"/>
      <c r="AU494" s="7"/>
      <c r="AV494" s="7"/>
      <c r="AW494" s="7"/>
      <c r="AX494" s="7"/>
    </row>
    <row r="495" spans="1:50" ht="15.75" customHeigh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2"/>
      <c r="AP495" s="7"/>
      <c r="AQ495" s="7"/>
      <c r="AR495" s="7"/>
      <c r="AS495" s="7"/>
      <c r="AT495" s="7"/>
      <c r="AU495" s="7"/>
      <c r="AV495" s="7"/>
      <c r="AW495" s="7"/>
      <c r="AX495" s="7"/>
    </row>
    <row r="496" spans="1:50" ht="15.75" customHeigh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2"/>
      <c r="AP496" s="7"/>
      <c r="AQ496" s="7"/>
      <c r="AR496" s="7"/>
      <c r="AS496" s="7"/>
      <c r="AT496" s="7"/>
      <c r="AU496" s="7"/>
      <c r="AV496" s="7"/>
      <c r="AW496" s="7"/>
      <c r="AX496" s="7"/>
    </row>
    <row r="497" spans="1:50" ht="15.75" customHeigh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2"/>
      <c r="AP497" s="7"/>
      <c r="AQ497" s="7"/>
      <c r="AR497" s="7"/>
      <c r="AS497" s="7"/>
      <c r="AT497" s="7"/>
      <c r="AU497" s="7"/>
      <c r="AV497" s="7"/>
      <c r="AW497" s="7"/>
      <c r="AX497" s="7"/>
    </row>
    <row r="498" spans="1:50" ht="15.75" customHeigh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2"/>
      <c r="AP498" s="7"/>
      <c r="AQ498" s="7"/>
      <c r="AR498" s="7"/>
      <c r="AS498" s="7"/>
      <c r="AT498" s="7"/>
      <c r="AU498" s="7"/>
      <c r="AV498" s="7"/>
      <c r="AW498" s="7"/>
      <c r="AX498" s="7"/>
    </row>
    <row r="499" spans="1:50" ht="15.75" customHeigh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2"/>
      <c r="AP499" s="7"/>
      <c r="AQ499" s="7"/>
      <c r="AR499" s="7"/>
      <c r="AS499" s="7"/>
      <c r="AT499" s="7"/>
      <c r="AU499" s="7"/>
      <c r="AV499" s="7"/>
      <c r="AW499" s="7"/>
      <c r="AX499" s="7"/>
    </row>
    <row r="500" spans="1:50" ht="15.75" customHeigh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2"/>
      <c r="AP500" s="7"/>
      <c r="AQ500" s="7"/>
      <c r="AR500" s="7"/>
      <c r="AS500" s="7"/>
      <c r="AT500" s="7"/>
      <c r="AU500" s="7"/>
      <c r="AV500" s="7"/>
      <c r="AW500" s="7"/>
      <c r="AX500" s="7"/>
    </row>
    <row r="501" spans="1:50" ht="15.75" customHeigh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2"/>
      <c r="AP501" s="7"/>
      <c r="AQ501" s="7"/>
      <c r="AR501" s="7"/>
      <c r="AS501" s="7"/>
      <c r="AT501" s="7"/>
      <c r="AU501" s="7"/>
      <c r="AV501" s="7"/>
      <c r="AW501" s="7"/>
      <c r="AX501" s="7"/>
    </row>
    <row r="502" spans="1:50" ht="15.75" customHeigh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2"/>
      <c r="AP502" s="7"/>
      <c r="AQ502" s="7"/>
      <c r="AR502" s="7"/>
      <c r="AS502" s="7"/>
      <c r="AT502" s="7"/>
      <c r="AU502" s="7"/>
      <c r="AV502" s="7"/>
      <c r="AW502" s="7"/>
      <c r="AX502" s="7"/>
    </row>
    <row r="503" spans="1:50" ht="15.75" customHeigh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2"/>
      <c r="AP503" s="7"/>
      <c r="AQ503" s="7"/>
      <c r="AR503" s="7"/>
      <c r="AS503" s="7"/>
      <c r="AT503" s="7"/>
      <c r="AU503" s="7"/>
      <c r="AV503" s="7"/>
      <c r="AW503" s="7"/>
      <c r="AX503" s="7"/>
    </row>
    <row r="504" spans="1:50" ht="15.75" customHeigh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2"/>
      <c r="AP504" s="7"/>
      <c r="AQ504" s="7"/>
      <c r="AR504" s="7"/>
      <c r="AS504" s="7"/>
      <c r="AT504" s="7"/>
      <c r="AU504" s="7"/>
      <c r="AV504" s="7"/>
      <c r="AW504" s="7"/>
      <c r="AX504" s="7"/>
    </row>
    <row r="505" spans="1:50" ht="15.75" customHeigh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2"/>
      <c r="AP505" s="7"/>
      <c r="AQ505" s="7"/>
      <c r="AR505" s="7"/>
      <c r="AS505" s="7"/>
      <c r="AT505" s="7"/>
      <c r="AU505" s="7"/>
      <c r="AV505" s="7"/>
      <c r="AW505" s="7"/>
      <c r="AX505" s="7"/>
    </row>
    <row r="506" spans="1:50" ht="15.75" customHeigh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2"/>
      <c r="AP506" s="7"/>
      <c r="AQ506" s="7"/>
      <c r="AR506" s="7"/>
      <c r="AS506" s="7"/>
      <c r="AT506" s="7"/>
      <c r="AU506" s="7"/>
      <c r="AV506" s="7"/>
      <c r="AW506" s="7"/>
      <c r="AX506" s="7"/>
    </row>
    <row r="507" spans="1:50" ht="15.75" customHeigh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2"/>
      <c r="AP507" s="7"/>
      <c r="AQ507" s="7"/>
      <c r="AR507" s="7"/>
      <c r="AS507" s="7"/>
      <c r="AT507" s="7"/>
      <c r="AU507" s="7"/>
      <c r="AV507" s="7"/>
      <c r="AW507" s="7"/>
      <c r="AX507" s="7"/>
    </row>
    <row r="508" spans="1:50" ht="15.75" customHeigh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2"/>
      <c r="AP508" s="7"/>
      <c r="AQ508" s="7"/>
      <c r="AR508" s="7"/>
      <c r="AS508" s="7"/>
      <c r="AT508" s="7"/>
      <c r="AU508" s="7"/>
      <c r="AV508" s="7"/>
      <c r="AW508" s="7"/>
      <c r="AX508" s="7"/>
    </row>
    <row r="509" spans="1:50" ht="15.75" customHeigh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2"/>
      <c r="AP509" s="7"/>
      <c r="AQ509" s="7"/>
      <c r="AR509" s="7"/>
      <c r="AS509" s="7"/>
      <c r="AT509" s="7"/>
      <c r="AU509" s="7"/>
      <c r="AV509" s="7"/>
      <c r="AW509" s="7"/>
      <c r="AX509" s="7"/>
    </row>
    <row r="510" spans="1:50" ht="15.75" customHeigh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2"/>
      <c r="AP510" s="7"/>
      <c r="AQ510" s="7"/>
      <c r="AR510" s="7"/>
      <c r="AS510" s="7"/>
      <c r="AT510" s="7"/>
      <c r="AU510" s="7"/>
      <c r="AV510" s="7"/>
      <c r="AW510" s="7"/>
      <c r="AX510" s="7"/>
    </row>
    <row r="511" spans="1:50" ht="15.75" customHeigh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2"/>
      <c r="AP511" s="7"/>
      <c r="AQ511" s="7"/>
      <c r="AR511" s="7"/>
      <c r="AS511" s="7"/>
      <c r="AT511" s="7"/>
      <c r="AU511" s="7"/>
      <c r="AV511" s="7"/>
      <c r="AW511" s="7"/>
      <c r="AX511" s="7"/>
    </row>
    <row r="512" spans="1:50" ht="15.75" customHeigh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2"/>
      <c r="AP512" s="7"/>
      <c r="AQ512" s="7"/>
      <c r="AR512" s="7"/>
      <c r="AS512" s="7"/>
      <c r="AT512" s="7"/>
      <c r="AU512" s="7"/>
      <c r="AV512" s="7"/>
      <c r="AW512" s="7"/>
      <c r="AX512" s="7"/>
    </row>
    <row r="513" spans="1:50" ht="15.75" customHeigh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2"/>
      <c r="AP513" s="7"/>
      <c r="AQ513" s="7"/>
      <c r="AR513" s="7"/>
      <c r="AS513" s="7"/>
      <c r="AT513" s="7"/>
      <c r="AU513" s="7"/>
      <c r="AV513" s="7"/>
      <c r="AW513" s="7"/>
      <c r="AX513" s="7"/>
    </row>
    <row r="514" spans="1:50" ht="15.75" customHeigh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2"/>
      <c r="AP514" s="7"/>
      <c r="AQ514" s="7"/>
      <c r="AR514" s="7"/>
      <c r="AS514" s="7"/>
      <c r="AT514" s="7"/>
      <c r="AU514" s="7"/>
      <c r="AV514" s="7"/>
      <c r="AW514" s="7"/>
      <c r="AX514" s="7"/>
    </row>
    <row r="515" spans="1:50" ht="15.75" customHeigh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2"/>
      <c r="AP515" s="7"/>
      <c r="AQ515" s="7"/>
      <c r="AR515" s="7"/>
      <c r="AS515" s="7"/>
      <c r="AT515" s="7"/>
      <c r="AU515" s="7"/>
      <c r="AV515" s="7"/>
      <c r="AW515" s="7"/>
      <c r="AX515" s="7"/>
    </row>
    <row r="516" spans="1:50" ht="15.75" customHeigh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2"/>
      <c r="AP516" s="7"/>
      <c r="AQ516" s="7"/>
      <c r="AR516" s="7"/>
      <c r="AS516" s="7"/>
      <c r="AT516" s="7"/>
      <c r="AU516" s="7"/>
      <c r="AV516" s="7"/>
      <c r="AW516" s="7"/>
      <c r="AX516" s="7"/>
    </row>
    <row r="517" spans="1:50" ht="15.75" customHeigh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2"/>
      <c r="AP517" s="7"/>
      <c r="AQ517" s="7"/>
      <c r="AR517" s="7"/>
      <c r="AS517" s="7"/>
      <c r="AT517" s="7"/>
      <c r="AU517" s="7"/>
      <c r="AV517" s="7"/>
      <c r="AW517" s="7"/>
      <c r="AX517" s="7"/>
    </row>
    <row r="518" spans="1:50" ht="15.75" customHeigh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2"/>
      <c r="AP518" s="7"/>
      <c r="AQ518" s="7"/>
      <c r="AR518" s="7"/>
      <c r="AS518" s="7"/>
      <c r="AT518" s="7"/>
      <c r="AU518" s="7"/>
      <c r="AV518" s="7"/>
      <c r="AW518" s="7"/>
      <c r="AX518" s="7"/>
    </row>
    <row r="519" spans="1:50" ht="15.75" customHeigh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2"/>
      <c r="AP519" s="7"/>
      <c r="AQ519" s="7"/>
      <c r="AR519" s="7"/>
      <c r="AS519" s="7"/>
      <c r="AT519" s="7"/>
      <c r="AU519" s="7"/>
      <c r="AV519" s="7"/>
      <c r="AW519" s="7"/>
      <c r="AX519" s="7"/>
    </row>
    <row r="520" spans="1:50" ht="15.75" customHeigh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2"/>
      <c r="AP520" s="7"/>
      <c r="AQ520" s="7"/>
      <c r="AR520" s="7"/>
      <c r="AS520" s="7"/>
      <c r="AT520" s="7"/>
      <c r="AU520" s="7"/>
      <c r="AV520" s="7"/>
      <c r="AW520" s="7"/>
      <c r="AX520" s="7"/>
    </row>
    <row r="521" spans="1:50" ht="15.75" customHeigh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2"/>
      <c r="AP521" s="7"/>
      <c r="AQ521" s="7"/>
      <c r="AR521" s="7"/>
      <c r="AS521" s="7"/>
      <c r="AT521" s="7"/>
      <c r="AU521" s="7"/>
      <c r="AV521" s="7"/>
      <c r="AW521" s="7"/>
      <c r="AX521" s="7"/>
    </row>
    <row r="522" spans="1:50" ht="15.75" customHeigh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2"/>
      <c r="AP522" s="7"/>
      <c r="AQ522" s="7"/>
      <c r="AR522" s="7"/>
      <c r="AS522" s="7"/>
      <c r="AT522" s="7"/>
      <c r="AU522" s="7"/>
      <c r="AV522" s="7"/>
      <c r="AW522" s="7"/>
      <c r="AX522" s="7"/>
    </row>
    <row r="523" spans="1:50" ht="15.75" customHeigh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2"/>
      <c r="AP523" s="7"/>
      <c r="AQ523" s="7"/>
      <c r="AR523" s="7"/>
      <c r="AS523" s="7"/>
      <c r="AT523" s="7"/>
      <c r="AU523" s="7"/>
      <c r="AV523" s="7"/>
      <c r="AW523" s="7"/>
      <c r="AX523" s="7"/>
    </row>
    <row r="524" spans="1:50" ht="15.75" customHeigh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2"/>
      <c r="AP524" s="7"/>
      <c r="AQ524" s="7"/>
      <c r="AR524" s="7"/>
      <c r="AS524" s="7"/>
      <c r="AT524" s="7"/>
      <c r="AU524" s="7"/>
      <c r="AV524" s="7"/>
      <c r="AW524" s="7"/>
      <c r="AX524" s="7"/>
    </row>
    <row r="525" spans="1:50" ht="15.75" customHeigh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2"/>
      <c r="AP525" s="7"/>
      <c r="AQ525" s="7"/>
      <c r="AR525" s="7"/>
      <c r="AS525" s="7"/>
      <c r="AT525" s="7"/>
      <c r="AU525" s="7"/>
      <c r="AV525" s="7"/>
      <c r="AW525" s="7"/>
      <c r="AX525" s="7"/>
    </row>
    <row r="526" spans="1:50" ht="15.75" customHeigh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2"/>
      <c r="AP526" s="7"/>
      <c r="AQ526" s="7"/>
      <c r="AR526" s="7"/>
      <c r="AS526" s="7"/>
      <c r="AT526" s="7"/>
      <c r="AU526" s="7"/>
      <c r="AV526" s="7"/>
      <c r="AW526" s="7"/>
      <c r="AX526" s="7"/>
    </row>
    <row r="527" spans="1:50" ht="15.75" customHeigh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2"/>
      <c r="AP527" s="7"/>
      <c r="AQ527" s="7"/>
      <c r="AR527" s="7"/>
      <c r="AS527" s="7"/>
      <c r="AT527" s="7"/>
      <c r="AU527" s="7"/>
      <c r="AV527" s="7"/>
      <c r="AW527" s="7"/>
      <c r="AX527" s="7"/>
    </row>
    <row r="528" spans="1:50" ht="15.75" customHeigh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2"/>
      <c r="AP528" s="7"/>
      <c r="AQ528" s="7"/>
      <c r="AR528" s="7"/>
      <c r="AS528" s="7"/>
      <c r="AT528" s="7"/>
      <c r="AU528" s="7"/>
      <c r="AV528" s="7"/>
      <c r="AW528" s="7"/>
      <c r="AX528" s="7"/>
    </row>
    <row r="529" spans="1:50" ht="15.75" customHeigh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2"/>
      <c r="AP529" s="7"/>
      <c r="AQ529" s="7"/>
      <c r="AR529" s="7"/>
      <c r="AS529" s="7"/>
      <c r="AT529" s="7"/>
      <c r="AU529" s="7"/>
      <c r="AV529" s="7"/>
      <c r="AW529" s="7"/>
      <c r="AX529" s="7"/>
    </row>
    <row r="530" spans="1:50" ht="15.75" customHeigh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2"/>
      <c r="AP530" s="7"/>
      <c r="AQ530" s="7"/>
      <c r="AR530" s="7"/>
      <c r="AS530" s="7"/>
      <c r="AT530" s="7"/>
      <c r="AU530" s="7"/>
      <c r="AV530" s="7"/>
      <c r="AW530" s="7"/>
      <c r="AX530" s="7"/>
    </row>
    <row r="531" spans="1:50" ht="15.75" customHeigh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2"/>
      <c r="AP531" s="7"/>
      <c r="AQ531" s="7"/>
      <c r="AR531" s="7"/>
      <c r="AS531" s="7"/>
      <c r="AT531" s="7"/>
      <c r="AU531" s="7"/>
      <c r="AV531" s="7"/>
      <c r="AW531" s="7"/>
      <c r="AX531" s="7"/>
    </row>
    <row r="532" spans="1:50" ht="15.75" customHeigh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2"/>
      <c r="AP532" s="7"/>
      <c r="AQ532" s="7"/>
      <c r="AR532" s="7"/>
      <c r="AS532" s="7"/>
      <c r="AT532" s="7"/>
      <c r="AU532" s="7"/>
      <c r="AV532" s="7"/>
      <c r="AW532" s="7"/>
      <c r="AX532" s="7"/>
    </row>
    <row r="533" spans="1:50" ht="15.75" customHeigh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2"/>
      <c r="AP533" s="7"/>
      <c r="AQ533" s="7"/>
      <c r="AR533" s="7"/>
      <c r="AS533" s="7"/>
      <c r="AT533" s="7"/>
      <c r="AU533" s="7"/>
      <c r="AV533" s="7"/>
      <c r="AW533" s="7"/>
      <c r="AX533" s="7"/>
    </row>
    <row r="534" spans="1:50" ht="15.75" customHeigh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2"/>
      <c r="AP534" s="7"/>
      <c r="AQ534" s="7"/>
      <c r="AR534" s="7"/>
      <c r="AS534" s="7"/>
      <c r="AT534" s="7"/>
      <c r="AU534" s="7"/>
      <c r="AV534" s="7"/>
      <c r="AW534" s="7"/>
      <c r="AX534" s="7"/>
    </row>
    <row r="535" spans="1:50" ht="15.75" customHeigh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2"/>
      <c r="AP535" s="7"/>
      <c r="AQ535" s="7"/>
      <c r="AR535" s="7"/>
      <c r="AS535" s="7"/>
      <c r="AT535" s="7"/>
      <c r="AU535" s="7"/>
      <c r="AV535" s="7"/>
      <c r="AW535" s="7"/>
      <c r="AX535" s="7"/>
    </row>
    <row r="536" spans="1:50" ht="15.75" customHeigh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2"/>
      <c r="AP536" s="7"/>
      <c r="AQ536" s="7"/>
      <c r="AR536" s="7"/>
      <c r="AS536" s="7"/>
      <c r="AT536" s="7"/>
      <c r="AU536" s="7"/>
      <c r="AV536" s="7"/>
      <c r="AW536" s="7"/>
      <c r="AX536" s="7"/>
    </row>
    <row r="537" spans="1:50" ht="15.75" customHeigh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2"/>
      <c r="AP537" s="7"/>
      <c r="AQ537" s="7"/>
      <c r="AR537" s="7"/>
      <c r="AS537" s="7"/>
      <c r="AT537" s="7"/>
      <c r="AU537" s="7"/>
      <c r="AV537" s="7"/>
      <c r="AW537" s="7"/>
      <c r="AX537" s="7"/>
    </row>
    <row r="538" spans="1:50" ht="15.75" customHeigh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2"/>
      <c r="AP538" s="7"/>
      <c r="AQ538" s="7"/>
      <c r="AR538" s="7"/>
      <c r="AS538" s="7"/>
      <c r="AT538" s="7"/>
      <c r="AU538" s="7"/>
      <c r="AV538" s="7"/>
      <c r="AW538" s="7"/>
      <c r="AX538" s="7"/>
    </row>
    <row r="539" spans="1:50" ht="15.75" customHeigh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2"/>
      <c r="AP539" s="7"/>
      <c r="AQ539" s="7"/>
      <c r="AR539" s="7"/>
      <c r="AS539" s="7"/>
      <c r="AT539" s="7"/>
      <c r="AU539" s="7"/>
      <c r="AV539" s="7"/>
      <c r="AW539" s="7"/>
      <c r="AX539" s="7"/>
    </row>
    <row r="540" spans="1:50" ht="15.75" customHeigh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2"/>
      <c r="AP540" s="7"/>
      <c r="AQ540" s="7"/>
      <c r="AR540" s="7"/>
      <c r="AS540" s="7"/>
      <c r="AT540" s="7"/>
      <c r="AU540" s="7"/>
      <c r="AV540" s="7"/>
      <c r="AW540" s="7"/>
      <c r="AX540" s="7"/>
    </row>
    <row r="541" spans="1:50" ht="15.75" customHeigh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2"/>
      <c r="AP541" s="7"/>
      <c r="AQ541" s="7"/>
      <c r="AR541" s="7"/>
      <c r="AS541" s="7"/>
      <c r="AT541" s="7"/>
      <c r="AU541" s="7"/>
      <c r="AV541" s="7"/>
      <c r="AW541" s="7"/>
      <c r="AX541" s="7"/>
    </row>
    <row r="542" spans="1:50" ht="15.75" customHeigh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2"/>
      <c r="AP542" s="7"/>
      <c r="AQ542" s="7"/>
      <c r="AR542" s="7"/>
      <c r="AS542" s="7"/>
      <c r="AT542" s="7"/>
      <c r="AU542" s="7"/>
      <c r="AV542" s="7"/>
      <c r="AW542" s="7"/>
      <c r="AX542" s="7"/>
    </row>
    <row r="543" spans="1:50" ht="15.75" customHeigh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2"/>
      <c r="AP543" s="7"/>
      <c r="AQ543" s="7"/>
      <c r="AR543" s="7"/>
      <c r="AS543" s="7"/>
      <c r="AT543" s="7"/>
      <c r="AU543" s="7"/>
      <c r="AV543" s="7"/>
      <c r="AW543" s="7"/>
      <c r="AX543" s="7"/>
    </row>
    <row r="544" spans="1:50" ht="15.75" customHeigh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2"/>
      <c r="AP544" s="7"/>
      <c r="AQ544" s="7"/>
      <c r="AR544" s="7"/>
      <c r="AS544" s="7"/>
      <c r="AT544" s="7"/>
      <c r="AU544" s="7"/>
      <c r="AV544" s="7"/>
      <c r="AW544" s="7"/>
      <c r="AX544" s="7"/>
    </row>
    <row r="545" spans="1:50" ht="15.75" customHeigh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2"/>
      <c r="AP545" s="7"/>
      <c r="AQ545" s="7"/>
      <c r="AR545" s="7"/>
      <c r="AS545" s="7"/>
      <c r="AT545" s="7"/>
      <c r="AU545" s="7"/>
      <c r="AV545" s="7"/>
      <c r="AW545" s="7"/>
      <c r="AX545" s="7"/>
    </row>
    <row r="546" spans="1:50" ht="15.75" customHeigh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2"/>
      <c r="AP546" s="7"/>
      <c r="AQ546" s="7"/>
      <c r="AR546" s="7"/>
      <c r="AS546" s="7"/>
      <c r="AT546" s="7"/>
      <c r="AU546" s="7"/>
      <c r="AV546" s="7"/>
      <c r="AW546" s="7"/>
      <c r="AX546" s="7"/>
    </row>
    <row r="547" spans="1:50" ht="15.75" customHeigh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2"/>
      <c r="AP547" s="7"/>
      <c r="AQ547" s="7"/>
      <c r="AR547" s="7"/>
      <c r="AS547" s="7"/>
      <c r="AT547" s="7"/>
      <c r="AU547" s="7"/>
      <c r="AV547" s="7"/>
      <c r="AW547" s="7"/>
      <c r="AX547" s="7"/>
    </row>
    <row r="548" spans="1:50" ht="15.75" customHeigh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2"/>
      <c r="AP548" s="7"/>
      <c r="AQ548" s="7"/>
      <c r="AR548" s="7"/>
      <c r="AS548" s="7"/>
      <c r="AT548" s="7"/>
      <c r="AU548" s="7"/>
      <c r="AV548" s="7"/>
      <c r="AW548" s="7"/>
      <c r="AX548" s="7"/>
    </row>
    <row r="549" spans="1:50" ht="15.75" customHeigh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2"/>
      <c r="AP549" s="7"/>
      <c r="AQ549" s="7"/>
      <c r="AR549" s="7"/>
      <c r="AS549" s="7"/>
      <c r="AT549" s="7"/>
      <c r="AU549" s="7"/>
      <c r="AV549" s="7"/>
      <c r="AW549" s="7"/>
      <c r="AX549" s="7"/>
    </row>
    <row r="550" spans="1:50" ht="15.75" customHeigh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2"/>
      <c r="AP550" s="7"/>
      <c r="AQ550" s="7"/>
      <c r="AR550" s="7"/>
      <c r="AS550" s="7"/>
      <c r="AT550" s="7"/>
      <c r="AU550" s="7"/>
      <c r="AV550" s="7"/>
      <c r="AW550" s="7"/>
      <c r="AX550" s="7"/>
    </row>
    <row r="551" spans="1:50" ht="15.75" customHeigh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2"/>
      <c r="AP551" s="7"/>
      <c r="AQ551" s="7"/>
      <c r="AR551" s="7"/>
      <c r="AS551" s="7"/>
      <c r="AT551" s="7"/>
      <c r="AU551" s="7"/>
      <c r="AV551" s="7"/>
      <c r="AW551" s="7"/>
      <c r="AX551" s="7"/>
    </row>
    <row r="552" spans="1:50" ht="15.75" customHeigh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2"/>
      <c r="AP552" s="7"/>
      <c r="AQ552" s="7"/>
      <c r="AR552" s="7"/>
      <c r="AS552" s="7"/>
      <c r="AT552" s="7"/>
      <c r="AU552" s="7"/>
      <c r="AV552" s="7"/>
      <c r="AW552" s="7"/>
      <c r="AX552" s="7"/>
    </row>
    <row r="553" spans="1:50" ht="15.75" customHeigh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2"/>
      <c r="AP553" s="7"/>
      <c r="AQ553" s="7"/>
      <c r="AR553" s="7"/>
      <c r="AS553" s="7"/>
      <c r="AT553" s="7"/>
      <c r="AU553" s="7"/>
      <c r="AV553" s="7"/>
      <c r="AW553" s="7"/>
      <c r="AX553" s="7"/>
    </row>
    <row r="554" spans="1:50" ht="15.75" customHeigh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2"/>
      <c r="AP554" s="7"/>
      <c r="AQ554" s="7"/>
      <c r="AR554" s="7"/>
      <c r="AS554" s="7"/>
      <c r="AT554" s="7"/>
      <c r="AU554" s="7"/>
      <c r="AV554" s="7"/>
      <c r="AW554" s="7"/>
      <c r="AX554" s="7"/>
    </row>
    <row r="555" spans="1:50" ht="15.75" customHeigh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2"/>
      <c r="AP555" s="7"/>
      <c r="AQ555" s="7"/>
      <c r="AR555" s="7"/>
      <c r="AS555" s="7"/>
      <c r="AT555" s="7"/>
      <c r="AU555" s="7"/>
      <c r="AV555" s="7"/>
      <c r="AW555" s="7"/>
      <c r="AX555" s="7"/>
    </row>
    <row r="556" spans="1:50" ht="15.75" customHeigh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2"/>
      <c r="AP556" s="7"/>
      <c r="AQ556" s="7"/>
      <c r="AR556" s="7"/>
      <c r="AS556" s="7"/>
      <c r="AT556" s="7"/>
      <c r="AU556" s="7"/>
      <c r="AV556" s="7"/>
      <c r="AW556" s="7"/>
      <c r="AX556" s="7"/>
    </row>
    <row r="557" spans="1:50" ht="15.75" customHeigh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2"/>
      <c r="AP557" s="7"/>
      <c r="AQ557" s="7"/>
      <c r="AR557" s="7"/>
      <c r="AS557" s="7"/>
      <c r="AT557" s="7"/>
      <c r="AU557" s="7"/>
      <c r="AV557" s="7"/>
      <c r="AW557" s="7"/>
      <c r="AX557" s="7"/>
    </row>
    <row r="558" spans="1:50" ht="15.75" customHeigh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2"/>
      <c r="AP558" s="7"/>
      <c r="AQ558" s="7"/>
      <c r="AR558" s="7"/>
      <c r="AS558" s="7"/>
      <c r="AT558" s="7"/>
      <c r="AU558" s="7"/>
      <c r="AV558" s="7"/>
      <c r="AW558" s="7"/>
      <c r="AX558" s="7"/>
    </row>
    <row r="559" spans="1:50" ht="15.75" customHeigh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2"/>
      <c r="AP559" s="7"/>
      <c r="AQ559" s="7"/>
      <c r="AR559" s="7"/>
      <c r="AS559" s="7"/>
      <c r="AT559" s="7"/>
      <c r="AU559" s="7"/>
      <c r="AV559" s="7"/>
      <c r="AW559" s="7"/>
      <c r="AX559" s="7"/>
    </row>
    <row r="560" spans="1:50" ht="15.75" customHeigh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2"/>
      <c r="AP560" s="7"/>
      <c r="AQ560" s="7"/>
      <c r="AR560" s="7"/>
      <c r="AS560" s="7"/>
      <c r="AT560" s="7"/>
      <c r="AU560" s="7"/>
      <c r="AV560" s="7"/>
      <c r="AW560" s="7"/>
      <c r="AX560" s="7"/>
    </row>
    <row r="561" spans="1:50" ht="15.75" customHeigh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2"/>
      <c r="AP561" s="7"/>
      <c r="AQ561" s="7"/>
      <c r="AR561" s="7"/>
      <c r="AS561" s="7"/>
      <c r="AT561" s="7"/>
      <c r="AU561" s="7"/>
      <c r="AV561" s="7"/>
      <c r="AW561" s="7"/>
      <c r="AX561" s="7"/>
    </row>
    <row r="562" spans="1:50" ht="15.75" customHeigh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2"/>
      <c r="AP562" s="7"/>
      <c r="AQ562" s="7"/>
      <c r="AR562" s="7"/>
      <c r="AS562" s="7"/>
      <c r="AT562" s="7"/>
      <c r="AU562" s="7"/>
      <c r="AV562" s="7"/>
      <c r="AW562" s="7"/>
      <c r="AX562" s="7"/>
    </row>
    <row r="563" spans="1:50" ht="15.75" customHeigh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2"/>
      <c r="AP563" s="7"/>
      <c r="AQ563" s="7"/>
      <c r="AR563" s="7"/>
      <c r="AS563" s="7"/>
      <c r="AT563" s="7"/>
      <c r="AU563" s="7"/>
      <c r="AV563" s="7"/>
      <c r="AW563" s="7"/>
      <c r="AX563" s="7"/>
    </row>
    <row r="564" spans="1:50" ht="15.75" customHeigh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2"/>
      <c r="AP564" s="7"/>
      <c r="AQ564" s="7"/>
      <c r="AR564" s="7"/>
      <c r="AS564" s="7"/>
      <c r="AT564" s="7"/>
      <c r="AU564" s="7"/>
      <c r="AV564" s="7"/>
      <c r="AW564" s="7"/>
      <c r="AX564" s="7"/>
    </row>
    <row r="565" spans="1:50" ht="15.75" customHeigh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2"/>
      <c r="AP565" s="7"/>
      <c r="AQ565" s="7"/>
      <c r="AR565" s="7"/>
      <c r="AS565" s="7"/>
      <c r="AT565" s="7"/>
      <c r="AU565" s="7"/>
      <c r="AV565" s="7"/>
      <c r="AW565" s="7"/>
      <c r="AX565" s="7"/>
    </row>
    <row r="566" spans="1:50" ht="15.75" customHeigh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2"/>
      <c r="AP566" s="7"/>
      <c r="AQ566" s="7"/>
      <c r="AR566" s="7"/>
      <c r="AS566" s="7"/>
      <c r="AT566" s="7"/>
      <c r="AU566" s="7"/>
      <c r="AV566" s="7"/>
      <c r="AW566" s="7"/>
      <c r="AX566" s="7"/>
    </row>
    <row r="567" spans="1:50" ht="15.75" customHeigh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2"/>
      <c r="AP567" s="7"/>
      <c r="AQ567" s="7"/>
      <c r="AR567" s="7"/>
      <c r="AS567" s="7"/>
      <c r="AT567" s="7"/>
      <c r="AU567" s="7"/>
      <c r="AV567" s="7"/>
      <c r="AW567" s="7"/>
      <c r="AX567" s="7"/>
    </row>
    <row r="568" spans="1:50" ht="15.75" customHeigh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2"/>
      <c r="AP568" s="7"/>
      <c r="AQ568" s="7"/>
      <c r="AR568" s="7"/>
      <c r="AS568" s="7"/>
      <c r="AT568" s="7"/>
      <c r="AU568" s="7"/>
      <c r="AV568" s="7"/>
      <c r="AW568" s="7"/>
      <c r="AX568" s="7"/>
    </row>
    <row r="569" spans="1:50" ht="15.75" customHeigh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2"/>
      <c r="AP569" s="7"/>
      <c r="AQ569" s="7"/>
      <c r="AR569" s="7"/>
      <c r="AS569" s="7"/>
      <c r="AT569" s="7"/>
      <c r="AU569" s="7"/>
      <c r="AV569" s="7"/>
      <c r="AW569" s="7"/>
      <c r="AX569" s="7"/>
    </row>
    <row r="570" spans="1:50" ht="15.75" customHeigh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2"/>
      <c r="AP570" s="7"/>
      <c r="AQ570" s="7"/>
      <c r="AR570" s="7"/>
      <c r="AS570" s="7"/>
      <c r="AT570" s="7"/>
      <c r="AU570" s="7"/>
      <c r="AV570" s="7"/>
      <c r="AW570" s="7"/>
      <c r="AX570" s="7"/>
    </row>
    <row r="571" spans="1:50" ht="15.75" customHeigh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2"/>
      <c r="AP571" s="7"/>
      <c r="AQ571" s="7"/>
      <c r="AR571" s="7"/>
      <c r="AS571" s="7"/>
      <c r="AT571" s="7"/>
      <c r="AU571" s="7"/>
      <c r="AV571" s="7"/>
      <c r="AW571" s="7"/>
      <c r="AX571" s="7"/>
    </row>
    <row r="572" spans="1:50" ht="15.75" customHeigh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2"/>
      <c r="AP572" s="7"/>
      <c r="AQ572" s="7"/>
      <c r="AR572" s="7"/>
      <c r="AS572" s="7"/>
      <c r="AT572" s="7"/>
      <c r="AU572" s="7"/>
      <c r="AV572" s="7"/>
      <c r="AW572" s="7"/>
      <c r="AX572" s="7"/>
    </row>
    <row r="573" spans="1:50" ht="15.75" customHeigh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2"/>
      <c r="AP573" s="7"/>
      <c r="AQ573" s="7"/>
      <c r="AR573" s="7"/>
      <c r="AS573" s="7"/>
      <c r="AT573" s="7"/>
      <c r="AU573" s="7"/>
      <c r="AV573" s="7"/>
      <c r="AW573" s="7"/>
      <c r="AX573" s="7"/>
    </row>
    <row r="574" spans="1:50" ht="15.75" customHeigh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2"/>
      <c r="AP574" s="7"/>
      <c r="AQ574" s="7"/>
      <c r="AR574" s="7"/>
      <c r="AS574" s="7"/>
      <c r="AT574" s="7"/>
      <c r="AU574" s="7"/>
      <c r="AV574" s="7"/>
      <c r="AW574" s="7"/>
      <c r="AX574" s="7"/>
    </row>
    <row r="575" spans="1:50" ht="15.75" customHeigh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2"/>
      <c r="AP575" s="7"/>
      <c r="AQ575" s="7"/>
      <c r="AR575" s="7"/>
      <c r="AS575" s="7"/>
      <c r="AT575" s="7"/>
      <c r="AU575" s="7"/>
      <c r="AV575" s="7"/>
      <c r="AW575" s="7"/>
      <c r="AX575" s="7"/>
    </row>
    <row r="576" spans="1:50" ht="15.75" customHeigh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2"/>
      <c r="AP576" s="7"/>
      <c r="AQ576" s="7"/>
      <c r="AR576" s="7"/>
      <c r="AS576" s="7"/>
      <c r="AT576" s="7"/>
      <c r="AU576" s="7"/>
      <c r="AV576" s="7"/>
      <c r="AW576" s="7"/>
      <c r="AX576" s="7"/>
    </row>
    <row r="577" spans="1:50" ht="15.75" customHeigh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2"/>
      <c r="AP577" s="7"/>
      <c r="AQ577" s="7"/>
      <c r="AR577" s="7"/>
      <c r="AS577" s="7"/>
      <c r="AT577" s="7"/>
      <c r="AU577" s="7"/>
      <c r="AV577" s="7"/>
      <c r="AW577" s="7"/>
      <c r="AX577" s="7"/>
    </row>
    <row r="578" spans="1:50" ht="15.75" customHeigh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2"/>
      <c r="AP578" s="7"/>
      <c r="AQ578" s="7"/>
      <c r="AR578" s="7"/>
      <c r="AS578" s="7"/>
      <c r="AT578" s="7"/>
      <c r="AU578" s="7"/>
      <c r="AV578" s="7"/>
      <c r="AW578" s="7"/>
      <c r="AX578" s="7"/>
    </row>
    <row r="579" spans="1:50" ht="15.75" customHeigh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2"/>
      <c r="AP579" s="7"/>
      <c r="AQ579" s="7"/>
      <c r="AR579" s="7"/>
      <c r="AS579" s="7"/>
      <c r="AT579" s="7"/>
      <c r="AU579" s="7"/>
      <c r="AV579" s="7"/>
      <c r="AW579" s="7"/>
      <c r="AX579" s="7"/>
    </row>
    <row r="580" spans="1:50" ht="15.75" customHeigh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2"/>
      <c r="AP580" s="7"/>
      <c r="AQ580" s="7"/>
      <c r="AR580" s="7"/>
      <c r="AS580" s="7"/>
      <c r="AT580" s="7"/>
      <c r="AU580" s="7"/>
      <c r="AV580" s="7"/>
      <c r="AW580" s="7"/>
      <c r="AX580" s="7"/>
    </row>
    <row r="581" spans="1:50" ht="15.75" customHeigh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2"/>
      <c r="AP581" s="7"/>
      <c r="AQ581" s="7"/>
      <c r="AR581" s="7"/>
      <c r="AS581" s="7"/>
      <c r="AT581" s="7"/>
      <c r="AU581" s="7"/>
      <c r="AV581" s="7"/>
      <c r="AW581" s="7"/>
      <c r="AX581" s="7"/>
    </row>
    <row r="582" spans="1:50" ht="15.75" customHeigh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2"/>
      <c r="AP582" s="7"/>
      <c r="AQ582" s="7"/>
      <c r="AR582" s="7"/>
      <c r="AS582" s="7"/>
      <c r="AT582" s="7"/>
      <c r="AU582" s="7"/>
      <c r="AV582" s="7"/>
      <c r="AW582" s="7"/>
      <c r="AX582" s="7"/>
    </row>
    <row r="583" spans="1:50" ht="15.75" customHeigh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2"/>
      <c r="AP583" s="7"/>
      <c r="AQ583" s="7"/>
      <c r="AR583" s="7"/>
      <c r="AS583" s="7"/>
      <c r="AT583" s="7"/>
      <c r="AU583" s="7"/>
      <c r="AV583" s="7"/>
      <c r="AW583" s="7"/>
      <c r="AX583" s="7"/>
    </row>
    <row r="584" spans="1:50" ht="15.75" customHeigh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2"/>
      <c r="AP584" s="7"/>
      <c r="AQ584" s="7"/>
      <c r="AR584" s="7"/>
      <c r="AS584" s="7"/>
      <c r="AT584" s="7"/>
      <c r="AU584" s="7"/>
      <c r="AV584" s="7"/>
      <c r="AW584" s="7"/>
      <c r="AX584" s="7"/>
    </row>
    <row r="585" spans="1:50" ht="15.75" customHeigh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2"/>
      <c r="AP585" s="7"/>
      <c r="AQ585" s="7"/>
      <c r="AR585" s="7"/>
      <c r="AS585" s="7"/>
      <c r="AT585" s="7"/>
      <c r="AU585" s="7"/>
      <c r="AV585" s="7"/>
      <c r="AW585" s="7"/>
      <c r="AX585" s="7"/>
    </row>
    <row r="586" spans="1:50" ht="15.75" customHeigh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2"/>
      <c r="AP586" s="7"/>
      <c r="AQ586" s="7"/>
      <c r="AR586" s="7"/>
      <c r="AS586" s="7"/>
      <c r="AT586" s="7"/>
      <c r="AU586" s="7"/>
      <c r="AV586" s="7"/>
      <c r="AW586" s="7"/>
      <c r="AX586" s="7"/>
    </row>
    <row r="587" spans="1:50" ht="15.75" customHeigh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2"/>
      <c r="AP587" s="7"/>
      <c r="AQ587" s="7"/>
      <c r="AR587" s="7"/>
      <c r="AS587" s="7"/>
      <c r="AT587" s="7"/>
      <c r="AU587" s="7"/>
      <c r="AV587" s="7"/>
      <c r="AW587" s="7"/>
      <c r="AX587" s="7"/>
    </row>
    <row r="588" spans="1:50" ht="15.75" customHeigh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2"/>
      <c r="AP588" s="7"/>
      <c r="AQ588" s="7"/>
      <c r="AR588" s="7"/>
      <c r="AS588" s="7"/>
      <c r="AT588" s="7"/>
      <c r="AU588" s="7"/>
      <c r="AV588" s="7"/>
      <c r="AW588" s="7"/>
      <c r="AX588" s="7"/>
    </row>
    <row r="589" spans="1:50" ht="15.75" customHeigh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2"/>
      <c r="AP589" s="7"/>
      <c r="AQ589" s="7"/>
      <c r="AR589" s="7"/>
      <c r="AS589" s="7"/>
      <c r="AT589" s="7"/>
      <c r="AU589" s="7"/>
      <c r="AV589" s="7"/>
      <c r="AW589" s="7"/>
      <c r="AX589" s="7"/>
    </row>
    <row r="590" spans="1:50" ht="15.75" customHeigh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2"/>
      <c r="AP590" s="7"/>
      <c r="AQ590" s="7"/>
      <c r="AR590" s="7"/>
      <c r="AS590" s="7"/>
      <c r="AT590" s="7"/>
      <c r="AU590" s="7"/>
      <c r="AV590" s="7"/>
      <c r="AW590" s="7"/>
      <c r="AX590" s="7"/>
    </row>
    <row r="591" spans="1:50" ht="15.75" customHeigh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2"/>
      <c r="AP591" s="7"/>
      <c r="AQ591" s="7"/>
      <c r="AR591" s="7"/>
      <c r="AS591" s="7"/>
      <c r="AT591" s="7"/>
      <c r="AU591" s="7"/>
      <c r="AV591" s="7"/>
      <c r="AW591" s="7"/>
      <c r="AX591" s="7"/>
    </row>
    <row r="592" spans="1:50" ht="15.75" customHeigh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2"/>
      <c r="AP592" s="7"/>
      <c r="AQ592" s="7"/>
      <c r="AR592" s="7"/>
      <c r="AS592" s="7"/>
      <c r="AT592" s="7"/>
      <c r="AU592" s="7"/>
      <c r="AV592" s="7"/>
      <c r="AW592" s="7"/>
      <c r="AX592" s="7"/>
    </row>
    <row r="593" spans="1:50" ht="15.75" customHeigh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2"/>
      <c r="AP593" s="7"/>
      <c r="AQ593" s="7"/>
      <c r="AR593" s="7"/>
      <c r="AS593" s="7"/>
      <c r="AT593" s="7"/>
      <c r="AU593" s="7"/>
      <c r="AV593" s="7"/>
      <c r="AW593" s="7"/>
      <c r="AX593" s="7"/>
    </row>
    <row r="594" spans="1:50" ht="15.75" customHeigh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2"/>
      <c r="AP594" s="7"/>
      <c r="AQ594" s="7"/>
      <c r="AR594" s="7"/>
      <c r="AS594" s="7"/>
      <c r="AT594" s="7"/>
      <c r="AU594" s="7"/>
      <c r="AV594" s="7"/>
      <c r="AW594" s="7"/>
      <c r="AX594" s="7"/>
    </row>
    <row r="595" spans="1:50" ht="15.75" customHeigh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2"/>
      <c r="AP595" s="7"/>
      <c r="AQ595" s="7"/>
      <c r="AR595" s="7"/>
      <c r="AS595" s="7"/>
      <c r="AT595" s="7"/>
      <c r="AU595" s="7"/>
      <c r="AV595" s="7"/>
      <c r="AW595" s="7"/>
      <c r="AX595" s="7"/>
    </row>
    <row r="596" spans="1:50" ht="15.75" customHeigh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2"/>
      <c r="AP596" s="7"/>
      <c r="AQ596" s="7"/>
      <c r="AR596" s="7"/>
      <c r="AS596" s="7"/>
      <c r="AT596" s="7"/>
      <c r="AU596" s="7"/>
      <c r="AV596" s="7"/>
      <c r="AW596" s="7"/>
      <c r="AX596" s="7"/>
    </row>
    <row r="597" spans="1:50" ht="15.75" customHeigh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2"/>
      <c r="AP597" s="7"/>
      <c r="AQ597" s="7"/>
      <c r="AR597" s="7"/>
      <c r="AS597" s="7"/>
      <c r="AT597" s="7"/>
      <c r="AU597" s="7"/>
      <c r="AV597" s="7"/>
      <c r="AW597" s="7"/>
      <c r="AX597" s="7"/>
    </row>
    <row r="598" spans="1:50" ht="15.75" customHeigh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2"/>
      <c r="AP598" s="7"/>
      <c r="AQ598" s="7"/>
      <c r="AR598" s="7"/>
      <c r="AS598" s="7"/>
      <c r="AT598" s="7"/>
      <c r="AU598" s="7"/>
      <c r="AV598" s="7"/>
      <c r="AW598" s="7"/>
      <c r="AX598" s="7"/>
    </row>
    <row r="599" spans="1:50" ht="15.75" customHeigh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2"/>
      <c r="AP599" s="7"/>
      <c r="AQ599" s="7"/>
      <c r="AR599" s="7"/>
      <c r="AS599" s="7"/>
      <c r="AT599" s="7"/>
      <c r="AU599" s="7"/>
      <c r="AV599" s="7"/>
      <c r="AW599" s="7"/>
      <c r="AX599" s="7"/>
    </row>
    <row r="600" spans="1:50" ht="15.75" customHeigh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2"/>
      <c r="AP600" s="7"/>
      <c r="AQ600" s="7"/>
      <c r="AR600" s="7"/>
      <c r="AS600" s="7"/>
      <c r="AT600" s="7"/>
      <c r="AU600" s="7"/>
      <c r="AV600" s="7"/>
      <c r="AW600" s="7"/>
      <c r="AX600" s="7"/>
    </row>
    <row r="601" spans="1:50" ht="15.75" customHeigh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2"/>
      <c r="AP601" s="7"/>
      <c r="AQ601" s="7"/>
      <c r="AR601" s="7"/>
      <c r="AS601" s="7"/>
      <c r="AT601" s="7"/>
      <c r="AU601" s="7"/>
      <c r="AV601" s="7"/>
      <c r="AW601" s="7"/>
      <c r="AX601" s="7"/>
    </row>
    <row r="602" spans="1:50" ht="15.75" customHeigh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2"/>
      <c r="AP602" s="7"/>
      <c r="AQ602" s="7"/>
      <c r="AR602" s="7"/>
      <c r="AS602" s="7"/>
      <c r="AT602" s="7"/>
      <c r="AU602" s="7"/>
      <c r="AV602" s="7"/>
      <c r="AW602" s="7"/>
      <c r="AX602" s="7"/>
    </row>
    <row r="603" spans="1:50" ht="15.75" customHeigh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2"/>
      <c r="AP603" s="7"/>
      <c r="AQ603" s="7"/>
      <c r="AR603" s="7"/>
      <c r="AS603" s="7"/>
      <c r="AT603" s="7"/>
      <c r="AU603" s="7"/>
      <c r="AV603" s="7"/>
      <c r="AW603" s="7"/>
      <c r="AX603" s="7"/>
    </row>
    <row r="604" spans="1:50" ht="15.75" customHeigh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2"/>
      <c r="AP604" s="7"/>
      <c r="AQ604" s="7"/>
      <c r="AR604" s="7"/>
      <c r="AS604" s="7"/>
      <c r="AT604" s="7"/>
      <c r="AU604" s="7"/>
      <c r="AV604" s="7"/>
      <c r="AW604" s="7"/>
      <c r="AX604" s="7"/>
    </row>
    <row r="605" spans="1:50" ht="15.75" customHeigh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2"/>
      <c r="AP605" s="7"/>
      <c r="AQ605" s="7"/>
      <c r="AR605" s="7"/>
      <c r="AS605" s="7"/>
      <c r="AT605" s="7"/>
      <c r="AU605" s="7"/>
      <c r="AV605" s="7"/>
      <c r="AW605" s="7"/>
      <c r="AX605" s="7"/>
    </row>
    <row r="606" spans="1:50" ht="15.75" customHeigh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2"/>
      <c r="AP606" s="7"/>
      <c r="AQ606" s="7"/>
      <c r="AR606" s="7"/>
      <c r="AS606" s="7"/>
      <c r="AT606" s="7"/>
      <c r="AU606" s="7"/>
      <c r="AV606" s="7"/>
      <c r="AW606" s="7"/>
      <c r="AX606" s="7"/>
    </row>
    <row r="607" spans="1:50" ht="15.75" customHeigh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2"/>
      <c r="AP607" s="7"/>
      <c r="AQ607" s="7"/>
      <c r="AR607" s="7"/>
      <c r="AS607" s="7"/>
      <c r="AT607" s="7"/>
      <c r="AU607" s="7"/>
      <c r="AV607" s="7"/>
      <c r="AW607" s="7"/>
      <c r="AX607" s="7"/>
    </row>
    <row r="608" spans="1:50" ht="15.75" customHeigh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2"/>
      <c r="AP608" s="7"/>
      <c r="AQ608" s="7"/>
      <c r="AR608" s="7"/>
      <c r="AS608" s="7"/>
      <c r="AT608" s="7"/>
      <c r="AU608" s="7"/>
      <c r="AV608" s="7"/>
      <c r="AW608" s="7"/>
      <c r="AX608" s="7"/>
    </row>
    <row r="609" spans="1:50" ht="15.75" customHeigh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2"/>
      <c r="AP609" s="7"/>
      <c r="AQ609" s="7"/>
      <c r="AR609" s="7"/>
      <c r="AS609" s="7"/>
      <c r="AT609" s="7"/>
      <c r="AU609" s="7"/>
      <c r="AV609" s="7"/>
      <c r="AW609" s="7"/>
      <c r="AX609" s="7"/>
    </row>
    <row r="610" spans="1:50" ht="15.75" customHeigh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2"/>
      <c r="AP610" s="7"/>
      <c r="AQ610" s="7"/>
      <c r="AR610" s="7"/>
      <c r="AS610" s="7"/>
      <c r="AT610" s="7"/>
      <c r="AU610" s="7"/>
      <c r="AV610" s="7"/>
      <c r="AW610" s="7"/>
      <c r="AX610" s="7"/>
    </row>
    <row r="611" spans="1:50" ht="15.75" customHeigh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2"/>
      <c r="AP611" s="7"/>
      <c r="AQ611" s="7"/>
      <c r="AR611" s="7"/>
      <c r="AS611" s="7"/>
      <c r="AT611" s="7"/>
      <c r="AU611" s="7"/>
      <c r="AV611" s="7"/>
      <c r="AW611" s="7"/>
      <c r="AX611" s="7"/>
    </row>
    <row r="612" spans="1:50" ht="15.75" customHeigh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2"/>
      <c r="AP612" s="7"/>
      <c r="AQ612" s="7"/>
      <c r="AR612" s="7"/>
      <c r="AS612" s="7"/>
      <c r="AT612" s="7"/>
      <c r="AU612" s="7"/>
      <c r="AV612" s="7"/>
      <c r="AW612" s="7"/>
      <c r="AX612" s="7"/>
    </row>
    <row r="613" spans="1:50" ht="15.75" customHeigh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2"/>
      <c r="AP613" s="7"/>
      <c r="AQ613" s="7"/>
      <c r="AR613" s="7"/>
      <c r="AS613" s="7"/>
      <c r="AT613" s="7"/>
      <c r="AU613" s="7"/>
      <c r="AV613" s="7"/>
      <c r="AW613" s="7"/>
      <c r="AX613" s="7"/>
    </row>
    <row r="614" spans="1:50" ht="15.75" customHeigh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2"/>
      <c r="AP614" s="7"/>
      <c r="AQ614" s="7"/>
      <c r="AR614" s="7"/>
      <c r="AS614" s="7"/>
      <c r="AT614" s="7"/>
      <c r="AU614" s="7"/>
      <c r="AV614" s="7"/>
      <c r="AW614" s="7"/>
      <c r="AX614" s="7"/>
    </row>
    <row r="615" spans="1:50" ht="15.75" customHeigh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2"/>
      <c r="AP615" s="7"/>
      <c r="AQ615" s="7"/>
      <c r="AR615" s="7"/>
      <c r="AS615" s="7"/>
      <c r="AT615" s="7"/>
      <c r="AU615" s="7"/>
      <c r="AV615" s="7"/>
      <c r="AW615" s="7"/>
      <c r="AX615" s="7"/>
    </row>
    <row r="616" spans="1:50" ht="15.75" customHeigh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2"/>
      <c r="AP616" s="7"/>
      <c r="AQ616" s="7"/>
      <c r="AR616" s="7"/>
      <c r="AS616" s="7"/>
      <c r="AT616" s="7"/>
      <c r="AU616" s="7"/>
      <c r="AV616" s="7"/>
      <c r="AW616" s="7"/>
      <c r="AX616" s="7"/>
    </row>
    <row r="617" spans="1:50" ht="15.75" customHeigh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2"/>
      <c r="AP617" s="7"/>
      <c r="AQ617" s="7"/>
      <c r="AR617" s="7"/>
      <c r="AS617" s="7"/>
      <c r="AT617" s="7"/>
      <c r="AU617" s="7"/>
      <c r="AV617" s="7"/>
      <c r="AW617" s="7"/>
      <c r="AX617" s="7"/>
    </row>
    <row r="618" spans="1:50" ht="15.75" customHeigh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2"/>
      <c r="AP618" s="7"/>
      <c r="AQ618" s="7"/>
      <c r="AR618" s="7"/>
      <c r="AS618" s="7"/>
      <c r="AT618" s="7"/>
      <c r="AU618" s="7"/>
      <c r="AV618" s="7"/>
      <c r="AW618" s="7"/>
      <c r="AX618" s="7"/>
    </row>
    <row r="619" spans="1:50" ht="15.75" customHeigh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2"/>
      <c r="AP619" s="7"/>
      <c r="AQ619" s="7"/>
      <c r="AR619" s="7"/>
      <c r="AS619" s="7"/>
      <c r="AT619" s="7"/>
      <c r="AU619" s="7"/>
      <c r="AV619" s="7"/>
      <c r="AW619" s="7"/>
      <c r="AX619" s="7"/>
    </row>
    <row r="620" spans="1:50" ht="15.75" customHeigh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2"/>
      <c r="AP620" s="7"/>
      <c r="AQ620" s="7"/>
      <c r="AR620" s="7"/>
      <c r="AS620" s="7"/>
      <c r="AT620" s="7"/>
      <c r="AU620" s="7"/>
      <c r="AV620" s="7"/>
      <c r="AW620" s="7"/>
      <c r="AX620" s="7"/>
    </row>
    <row r="621" spans="1:50" ht="15.75" customHeigh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2"/>
      <c r="AP621" s="7"/>
      <c r="AQ621" s="7"/>
      <c r="AR621" s="7"/>
      <c r="AS621" s="7"/>
      <c r="AT621" s="7"/>
      <c r="AU621" s="7"/>
      <c r="AV621" s="7"/>
      <c r="AW621" s="7"/>
      <c r="AX621" s="7"/>
    </row>
    <row r="622" spans="1:50" ht="15.75" customHeigh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2"/>
      <c r="AP622" s="7"/>
      <c r="AQ622" s="7"/>
      <c r="AR622" s="7"/>
      <c r="AS622" s="7"/>
      <c r="AT622" s="7"/>
      <c r="AU622" s="7"/>
      <c r="AV622" s="7"/>
      <c r="AW622" s="7"/>
      <c r="AX622" s="7"/>
    </row>
    <row r="623" spans="1:50" ht="15.75" customHeigh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2"/>
      <c r="AP623" s="7"/>
      <c r="AQ623" s="7"/>
      <c r="AR623" s="7"/>
      <c r="AS623" s="7"/>
      <c r="AT623" s="7"/>
      <c r="AU623" s="7"/>
      <c r="AV623" s="7"/>
      <c r="AW623" s="7"/>
      <c r="AX623" s="7"/>
    </row>
    <row r="624" spans="1:50" ht="15.75" customHeigh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2"/>
      <c r="AP624" s="7"/>
      <c r="AQ624" s="7"/>
      <c r="AR624" s="7"/>
      <c r="AS624" s="7"/>
      <c r="AT624" s="7"/>
      <c r="AU624" s="7"/>
      <c r="AV624" s="7"/>
      <c r="AW624" s="7"/>
      <c r="AX624" s="7"/>
    </row>
    <row r="625" spans="1:50" ht="15.75" customHeigh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2"/>
      <c r="AP625" s="7"/>
      <c r="AQ625" s="7"/>
      <c r="AR625" s="7"/>
      <c r="AS625" s="7"/>
      <c r="AT625" s="7"/>
      <c r="AU625" s="7"/>
      <c r="AV625" s="7"/>
      <c r="AW625" s="7"/>
      <c r="AX625" s="7"/>
    </row>
    <row r="626" spans="1:50" ht="15.75" customHeigh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2"/>
      <c r="AP626" s="7"/>
      <c r="AQ626" s="7"/>
      <c r="AR626" s="7"/>
      <c r="AS626" s="7"/>
      <c r="AT626" s="7"/>
      <c r="AU626" s="7"/>
      <c r="AV626" s="7"/>
      <c r="AW626" s="7"/>
      <c r="AX626" s="7"/>
    </row>
    <row r="627" spans="1:50" ht="15.75" customHeigh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2"/>
      <c r="AP627" s="7"/>
      <c r="AQ627" s="7"/>
      <c r="AR627" s="7"/>
      <c r="AS627" s="7"/>
      <c r="AT627" s="7"/>
      <c r="AU627" s="7"/>
      <c r="AV627" s="7"/>
      <c r="AW627" s="7"/>
      <c r="AX627" s="7"/>
    </row>
    <row r="628" spans="1:50" ht="15.75" customHeigh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2"/>
      <c r="AP628" s="7"/>
      <c r="AQ628" s="7"/>
      <c r="AR628" s="7"/>
      <c r="AS628" s="7"/>
      <c r="AT628" s="7"/>
      <c r="AU628" s="7"/>
      <c r="AV628" s="7"/>
      <c r="AW628" s="7"/>
      <c r="AX628" s="7"/>
    </row>
    <row r="629" spans="1:50" ht="15.75" customHeigh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2"/>
      <c r="AP629" s="7"/>
      <c r="AQ629" s="7"/>
      <c r="AR629" s="7"/>
      <c r="AS629" s="7"/>
      <c r="AT629" s="7"/>
      <c r="AU629" s="7"/>
      <c r="AV629" s="7"/>
      <c r="AW629" s="7"/>
      <c r="AX629" s="7"/>
    </row>
    <row r="630" spans="1:50" ht="15.75" customHeigh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2"/>
      <c r="AP630" s="7"/>
      <c r="AQ630" s="7"/>
      <c r="AR630" s="7"/>
      <c r="AS630" s="7"/>
      <c r="AT630" s="7"/>
      <c r="AU630" s="7"/>
      <c r="AV630" s="7"/>
      <c r="AW630" s="7"/>
      <c r="AX630" s="7"/>
    </row>
    <row r="631" spans="1:50" ht="15.75" customHeigh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2"/>
      <c r="AP631" s="7"/>
      <c r="AQ631" s="7"/>
      <c r="AR631" s="7"/>
      <c r="AS631" s="7"/>
      <c r="AT631" s="7"/>
      <c r="AU631" s="7"/>
      <c r="AV631" s="7"/>
      <c r="AW631" s="7"/>
      <c r="AX631" s="7"/>
    </row>
    <row r="632" spans="1:50" ht="15.75" customHeigh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2"/>
      <c r="AP632" s="7"/>
      <c r="AQ632" s="7"/>
      <c r="AR632" s="7"/>
      <c r="AS632" s="7"/>
      <c r="AT632" s="7"/>
      <c r="AU632" s="7"/>
      <c r="AV632" s="7"/>
      <c r="AW632" s="7"/>
      <c r="AX632" s="7"/>
    </row>
    <row r="633" spans="1:50" ht="15.75" customHeigh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2"/>
      <c r="AP633" s="7"/>
      <c r="AQ633" s="7"/>
      <c r="AR633" s="7"/>
      <c r="AS633" s="7"/>
      <c r="AT633" s="7"/>
      <c r="AU633" s="7"/>
      <c r="AV633" s="7"/>
      <c r="AW633" s="7"/>
      <c r="AX633" s="7"/>
    </row>
    <row r="634" spans="1:50" ht="15.75" customHeigh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2"/>
      <c r="AP634" s="7"/>
      <c r="AQ634" s="7"/>
      <c r="AR634" s="7"/>
      <c r="AS634" s="7"/>
      <c r="AT634" s="7"/>
      <c r="AU634" s="7"/>
      <c r="AV634" s="7"/>
      <c r="AW634" s="7"/>
      <c r="AX634" s="7"/>
    </row>
    <row r="635" spans="1:50" ht="15.75" customHeigh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2"/>
      <c r="AP635" s="7"/>
      <c r="AQ635" s="7"/>
      <c r="AR635" s="7"/>
      <c r="AS635" s="7"/>
      <c r="AT635" s="7"/>
      <c r="AU635" s="7"/>
      <c r="AV635" s="7"/>
      <c r="AW635" s="7"/>
      <c r="AX635" s="7"/>
    </row>
    <row r="636" spans="1:50" ht="15.75" customHeigh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2"/>
      <c r="AP636" s="7"/>
      <c r="AQ636" s="7"/>
      <c r="AR636" s="7"/>
      <c r="AS636" s="7"/>
      <c r="AT636" s="7"/>
      <c r="AU636" s="7"/>
      <c r="AV636" s="7"/>
      <c r="AW636" s="7"/>
      <c r="AX636" s="7"/>
    </row>
    <row r="637" spans="1:50" ht="15.75" customHeigh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2"/>
      <c r="AP637" s="7"/>
      <c r="AQ637" s="7"/>
      <c r="AR637" s="7"/>
      <c r="AS637" s="7"/>
      <c r="AT637" s="7"/>
      <c r="AU637" s="7"/>
      <c r="AV637" s="7"/>
      <c r="AW637" s="7"/>
      <c r="AX637" s="7"/>
    </row>
    <row r="638" spans="1:50" ht="15.75" customHeigh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2"/>
      <c r="AP638" s="7"/>
      <c r="AQ638" s="7"/>
      <c r="AR638" s="7"/>
      <c r="AS638" s="7"/>
      <c r="AT638" s="7"/>
      <c r="AU638" s="7"/>
      <c r="AV638" s="7"/>
      <c r="AW638" s="7"/>
      <c r="AX638" s="7"/>
    </row>
    <row r="639" spans="1:50" ht="15.75" customHeigh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2"/>
      <c r="AP639" s="7"/>
      <c r="AQ639" s="7"/>
      <c r="AR639" s="7"/>
      <c r="AS639" s="7"/>
      <c r="AT639" s="7"/>
      <c r="AU639" s="7"/>
      <c r="AV639" s="7"/>
      <c r="AW639" s="7"/>
      <c r="AX639" s="7"/>
    </row>
    <row r="640" spans="1:50" ht="15.75" customHeigh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2"/>
      <c r="AP640" s="7"/>
      <c r="AQ640" s="7"/>
      <c r="AR640" s="7"/>
      <c r="AS640" s="7"/>
      <c r="AT640" s="7"/>
      <c r="AU640" s="7"/>
      <c r="AV640" s="7"/>
      <c r="AW640" s="7"/>
      <c r="AX640" s="7"/>
    </row>
    <row r="641" spans="1:50" ht="15.75" customHeigh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2"/>
      <c r="AP641" s="7"/>
      <c r="AQ641" s="7"/>
      <c r="AR641" s="7"/>
      <c r="AS641" s="7"/>
      <c r="AT641" s="7"/>
      <c r="AU641" s="7"/>
      <c r="AV641" s="7"/>
      <c r="AW641" s="7"/>
      <c r="AX641" s="7"/>
    </row>
    <row r="642" spans="1:50" ht="15.75" customHeigh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2"/>
      <c r="AP642" s="7"/>
      <c r="AQ642" s="7"/>
      <c r="AR642" s="7"/>
      <c r="AS642" s="7"/>
      <c r="AT642" s="7"/>
      <c r="AU642" s="7"/>
      <c r="AV642" s="7"/>
      <c r="AW642" s="7"/>
      <c r="AX642" s="7"/>
    </row>
    <row r="643" spans="1:50" ht="15.75" customHeigh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2"/>
      <c r="AP643" s="7"/>
      <c r="AQ643" s="7"/>
      <c r="AR643" s="7"/>
      <c r="AS643" s="7"/>
      <c r="AT643" s="7"/>
      <c r="AU643" s="7"/>
      <c r="AV643" s="7"/>
      <c r="AW643" s="7"/>
      <c r="AX643" s="7"/>
    </row>
    <row r="644" spans="1:50" ht="15.75" customHeigh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2"/>
      <c r="AP644" s="7"/>
      <c r="AQ644" s="7"/>
      <c r="AR644" s="7"/>
      <c r="AS644" s="7"/>
      <c r="AT644" s="7"/>
      <c r="AU644" s="7"/>
      <c r="AV644" s="7"/>
      <c r="AW644" s="7"/>
      <c r="AX644" s="7"/>
    </row>
    <row r="645" spans="1:50" ht="15.75" customHeigh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2"/>
      <c r="AP645" s="7"/>
      <c r="AQ645" s="7"/>
      <c r="AR645" s="7"/>
      <c r="AS645" s="7"/>
      <c r="AT645" s="7"/>
      <c r="AU645" s="7"/>
      <c r="AV645" s="7"/>
      <c r="AW645" s="7"/>
      <c r="AX645" s="7"/>
    </row>
    <row r="646" spans="1:50" ht="15.75" customHeigh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2"/>
      <c r="AP646" s="7"/>
      <c r="AQ646" s="7"/>
      <c r="AR646" s="7"/>
      <c r="AS646" s="7"/>
      <c r="AT646" s="7"/>
      <c r="AU646" s="7"/>
      <c r="AV646" s="7"/>
      <c r="AW646" s="7"/>
      <c r="AX646" s="7"/>
    </row>
    <row r="647" spans="1:50" ht="15.75" customHeigh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2"/>
      <c r="AP647" s="7"/>
      <c r="AQ647" s="7"/>
      <c r="AR647" s="7"/>
      <c r="AS647" s="7"/>
      <c r="AT647" s="7"/>
      <c r="AU647" s="7"/>
      <c r="AV647" s="7"/>
      <c r="AW647" s="7"/>
      <c r="AX647" s="7"/>
    </row>
    <row r="648" spans="1:50" ht="15.75" customHeigh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2"/>
      <c r="AP648" s="7"/>
      <c r="AQ648" s="7"/>
      <c r="AR648" s="7"/>
      <c r="AS648" s="7"/>
      <c r="AT648" s="7"/>
      <c r="AU648" s="7"/>
      <c r="AV648" s="7"/>
      <c r="AW648" s="7"/>
      <c r="AX648" s="7"/>
    </row>
    <row r="649" spans="1:50" ht="15.75" customHeigh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2"/>
      <c r="AP649" s="7"/>
      <c r="AQ649" s="7"/>
      <c r="AR649" s="7"/>
      <c r="AS649" s="7"/>
      <c r="AT649" s="7"/>
      <c r="AU649" s="7"/>
      <c r="AV649" s="7"/>
      <c r="AW649" s="7"/>
      <c r="AX649" s="7"/>
    </row>
    <row r="650" spans="1:50" ht="15.75" customHeigh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2"/>
      <c r="AP650" s="7"/>
      <c r="AQ650" s="7"/>
      <c r="AR650" s="7"/>
      <c r="AS650" s="7"/>
      <c r="AT650" s="7"/>
      <c r="AU650" s="7"/>
      <c r="AV650" s="7"/>
      <c r="AW650" s="7"/>
      <c r="AX650" s="7"/>
    </row>
    <row r="651" spans="1:50" ht="15.75" customHeigh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2"/>
      <c r="AP651" s="7"/>
      <c r="AQ651" s="7"/>
      <c r="AR651" s="7"/>
      <c r="AS651" s="7"/>
      <c r="AT651" s="7"/>
      <c r="AU651" s="7"/>
      <c r="AV651" s="7"/>
      <c r="AW651" s="7"/>
      <c r="AX651" s="7"/>
    </row>
    <row r="652" spans="1:50" ht="15.75" customHeigh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2"/>
      <c r="AP652" s="7"/>
      <c r="AQ652" s="7"/>
      <c r="AR652" s="7"/>
      <c r="AS652" s="7"/>
      <c r="AT652" s="7"/>
      <c r="AU652" s="7"/>
      <c r="AV652" s="7"/>
      <c r="AW652" s="7"/>
      <c r="AX652" s="7"/>
    </row>
    <row r="653" spans="1:50" ht="15.75" customHeigh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2"/>
      <c r="AP653" s="7"/>
      <c r="AQ653" s="7"/>
      <c r="AR653" s="7"/>
      <c r="AS653" s="7"/>
      <c r="AT653" s="7"/>
      <c r="AU653" s="7"/>
      <c r="AV653" s="7"/>
      <c r="AW653" s="7"/>
      <c r="AX653" s="7"/>
    </row>
    <row r="654" spans="1:50" ht="15.75" customHeigh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2"/>
      <c r="AP654" s="7"/>
      <c r="AQ654" s="7"/>
      <c r="AR654" s="7"/>
      <c r="AS654" s="7"/>
      <c r="AT654" s="7"/>
      <c r="AU654" s="7"/>
      <c r="AV654" s="7"/>
      <c r="AW654" s="7"/>
      <c r="AX654" s="7"/>
    </row>
    <row r="655" spans="1:50" ht="15.75" customHeigh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2"/>
      <c r="AP655" s="7"/>
      <c r="AQ655" s="7"/>
      <c r="AR655" s="7"/>
      <c r="AS655" s="7"/>
      <c r="AT655" s="7"/>
      <c r="AU655" s="7"/>
      <c r="AV655" s="7"/>
      <c r="AW655" s="7"/>
      <c r="AX655" s="7"/>
    </row>
    <row r="656" spans="1:50" ht="15.75" customHeigh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2"/>
      <c r="AP656" s="7"/>
      <c r="AQ656" s="7"/>
      <c r="AR656" s="7"/>
      <c r="AS656" s="7"/>
      <c r="AT656" s="7"/>
      <c r="AU656" s="7"/>
      <c r="AV656" s="7"/>
      <c r="AW656" s="7"/>
      <c r="AX656" s="7"/>
    </row>
    <row r="657" spans="1:50" ht="15.75" customHeigh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2"/>
      <c r="AP657" s="7"/>
      <c r="AQ657" s="7"/>
      <c r="AR657" s="7"/>
      <c r="AS657" s="7"/>
      <c r="AT657" s="7"/>
      <c r="AU657" s="7"/>
      <c r="AV657" s="7"/>
      <c r="AW657" s="7"/>
      <c r="AX657" s="7"/>
    </row>
    <row r="658" spans="1:50" ht="15.75" customHeigh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2"/>
      <c r="AP658" s="7"/>
      <c r="AQ658" s="7"/>
      <c r="AR658" s="7"/>
      <c r="AS658" s="7"/>
      <c r="AT658" s="7"/>
      <c r="AU658" s="7"/>
      <c r="AV658" s="7"/>
      <c r="AW658" s="7"/>
      <c r="AX658" s="7"/>
    </row>
    <row r="659" spans="1:50" ht="15.75" customHeigh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2"/>
      <c r="AP659" s="7"/>
      <c r="AQ659" s="7"/>
      <c r="AR659" s="7"/>
      <c r="AS659" s="7"/>
      <c r="AT659" s="7"/>
      <c r="AU659" s="7"/>
      <c r="AV659" s="7"/>
      <c r="AW659" s="7"/>
      <c r="AX659" s="7"/>
    </row>
    <row r="660" spans="1:50" ht="15.75" customHeigh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2"/>
      <c r="AP660" s="7"/>
      <c r="AQ660" s="7"/>
      <c r="AR660" s="7"/>
      <c r="AS660" s="7"/>
      <c r="AT660" s="7"/>
      <c r="AU660" s="7"/>
      <c r="AV660" s="7"/>
      <c r="AW660" s="7"/>
      <c r="AX660" s="7"/>
    </row>
    <row r="661" spans="1:50" ht="15.75" customHeigh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2"/>
      <c r="AP661" s="7"/>
      <c r="AQ661" s="7"/>
      <c r="AR661" s="7"/>
      <c r="AS661" s="7"/>
      <c r="AT661" s="7"/>
      <c r="AU661" s="7"/>
      <c r="AV661" s="7"/>
      <c r="AW661" s="7"/>
      <c r="AX661" s="7"/>
    </row>
    <row r="662" spans="1:50" ht="15.75" customHeigh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2"/>
      <c r="AP662" s="7"/>
      <c r="AQ662" s="7"/>
      <c r="AR662" s="7"/>
      <c r="AS662" s="7"/>
      <c r="AT662" s="7"/>
      <c r="AU662" s="7"/>
      <c r="AV662" s="7"/>
      <c r="AW662" s="7"/>
      <c r="AX662" s="7"/>
    </row>
    <row r="663" spans="1:50" ht="15.75" customHeigh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2"/>
      <c r="AP663" s="7"/>
      <c r="AQ663" s="7"/>
      <c r="AR663" s="7"/>
      <c r="AS663" s="7"/>
      <c r="AT663" s="7"/>
      <c r="AU663" s="7"/>
      <c r="AV663" s="7"/>
      <c r="AW663" s="7"/>
      <c r="AX663" s="7"/>
    </row>
    <row r="664" spans="1:50" ht="15.75" customHeigh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2"/>
      <c r="AP664" s="7"/>
      <c r="AQ664" s="7"/>
      <c r="AR664" s="7"/>
      <c r="AS664" s="7"/>
      <c r="AT664" s="7"/>
      <c r="AU664" s="7"/>
      <c r="AV664" s="7"/>
      <c r="AW664" s="7"/>
      <c r="AX664" s="7"/>
    </row>
    <row r="665" spans="1:50" ht="15.75" customHeigh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2"/>
      <c r="AP665" s="7"/>
      <c r="AQ665" s="7"/>
      <c r="AR665" s="7"/>
      <c r="AS665" s="7"/>
      <c r="AT665" s="7"/>
      <c r="AU665" s="7"/>
      <c r="AV665" s="7"/>
      <c r="AW665" s="7"/>
      <c r="AX665" s="7"/>
    </row>
    <row r="666" spans="1:50" ht="15.75" customHeigh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2"/>
      <c r="AP666" s="7"/>
      <c r="AQ666" s="7"/>
      <c r="AR666" s="7"/>
      <c r="AS666" s="7"/>
      <c r="AT666" s="7"/>
      <c r="AU666" s="7"/>
      <c r="AV666" s="7"/>
      <c r="AW666" s="7"/>
      <c r="AX666" s="7"/>
    </row>
    <row r="667" spans="1:50" ht="15.75" customHeigh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2"/>
      <c r="AP667" s="7"/>
      <c r="AQ667" s="7"/>
      <c r="AR667" s="7"/>
      <c r="AS667" s="7"/>
      <c r="AT667" s="7"/>
      <c r="AU667" s="7"/>
      <c r="AV667" s="7"/>
      <c r="AW667" s="7"/>
      <c r="AX667" s="7"/>
    </row>
    <row r="668" spans="1:50" ht="15.75" customHeigh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2"/>
      <c r="AP668" s="7"/>
      <c r="AQ668" s="7"/>
      <c r="AR668" s="7"/>
      <c r="AS668" s="7"/>
      <c r="AT668" s="7"/>
      <c r="AU668" s="7"/>
      <c r="AV668" s="7"/>
      <c r="AW668" s="7"/>
      <c r="AX668" s="7"/>
    </row>
    <row r="669" spans="1:50" ht="15.75" customHeigh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2"/>
      <c r="AP669" s="7"/>
      <c r="AQ669" s="7"/>
      <c r="AR669" s="7"/>
      <c r="AS669" s="7"/>
      <c r="AT669" s="7"/>
      <c r="AU669" s="7"/>
      <c r="AV669" s="7"/>
      <c r="AW669" s="7"/>
      <c r="AX669" s="7"/>
    </row>
    <row r="670" spans="1:50" ht="15.75" customHeigh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2"/>
      <c r="AP670" s="7"/>
      <c r="AQ670" s="7"/>
      <c r="AR670" s="7"/>
      <c r="AS670" s="7"/>
      <c r="AT670" s="7"/>
      <c r="AU670" s="7"/>
      <c r="AV670" s="7"/>
      <c r="AW670" s="7"/>
      <c r="AX670" s="7"/>
    </row>
    <row r="671" spans="1:50" ht="15.75" customHeigh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2"/>
      <c r="AP671" s="7"/>
      <c r="AQ671" s="7"/>
      <c r="AR671" s="7"/>
      <c r="AS671" s="7"/>
      <c r="AT671" s="7"/>
      <c r="AU671" s="7"/>
      <c r="AV671" s="7"/>
      <c r="AW671" s="7"/>
      <c r="AX671" s="7"/>
    </row>
    <row r="672" spans="1:50" ht="15.75" customHeigh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2"/>
      <c r="AP672" s="7"/>
      <c r="AQ672" s="7"/>
      <c r="AR672" s="7"/>
      <c r="AS672" s="7"/>
      <c r="AT672" s="7"/>
      <c r="AU672" s="7"/>
      <c r="AV672" s="7"/>
      <c r="AW672" s="7"/>
      <c r="AX672" s="7"/>
    </row>
    <row r="673" spans="1:50" ht="15.75" customHeigh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2"/>
      <c r="AP673" s="7"/>
      <c r="AQ673" s="7"/>
      <c r="AR673" s="7"/>
      <c r="AS673" s="7"/>
      <c r="AT673" s="7"/>
      <c r="AU673" s="7"/>
      <c r="AV673" s="7"/>
      <c r="AW673" s="7"/>
      <c r="AX673" s="7"/>
    </row>
    <row r="674" spans="1:50" ht="15.75" customHeigh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2"/>
      <c r="AP674" s="7"/>
      <c r="AQ674" s="7"/>
      <c r="AR674" s="7"/>
      <c r="AS674" s="7"/>
      <c r="AT674" s="7"/>
      <c r="AU674" s="7"/>
      <c r="AV674" s="7"/>
      <c r="AW674" s="7"/>
      <c r="AX674" s="7"/>
    </row>
    <row r="675" spans="1:50" ht="15.75" customHeigh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2"/>
      <c r="AP675" s="7"/>
      <c r="AQ675" s="7"/>
      <c r="AR675" s="7"/>
      <c r="AS675" s="7"/>
      <c r="AT675" s="7"/>
      <c r="AU675" s="7"/>
      <c r="AV675" s="7"/>
      <c r="AW675" s="7"/>
      <c r="AX675" s="7"/>
    </row>
    <row r="676" spans="1:50" ht="15.75" customHeigh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2"/>
      <c r="AP676" s="7"/>
      <c r="AQ676" s="7"/>
      <c r="AR676" s="7"/>
      <c r="AS676" s="7"/>
      <c r="AT676" s="7"/>
      <c r="AU676" s="7"/>
      <c r="AV676" s="7"/>
      <c r="AW676" s="7"/>
      <c r="AX676" s="7"/>
    </row>
    <row r="677" spans="1:50" ht="15.75" customHeigh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2"/>
      <c r="AP677" s="7"/>
      <c r="AQ677" s="7"/>
      <c r="AR677" s="7"/>
      <c r="AS677" s="7"/>
      <c r="AT677" s="7"/>
      <c r="AU677" s="7"/>
      <c r="AV677" s="7"/>
      <c r="AW677" s="7"/>
      <c r="AX677" s="7"/>
    </row>
    <row r="678" spans="1:50" ht="15.75" customHeigh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2"/>
      <c r="AP678" s="7"/>
      <c r="AQ678" s="7"/>
      <c r="AR678" s="7"/>
      <c r="AS678" s="7"/>
      <c r="AT678" s="7"/>
      <c r="AU678" s="7"/>
      <c r="AV678" s="7"/>
      <c r="AW678" s="7"/>
      <c r="AX678" s="7"/>
    </row>
    <row r="679" spans="1:50" ht="15.75" customHeigh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2"/>
      <c r="AP679" s="7"/>
      <c r="AQ679" s="7"/>
      <c r="AR679" s="7"/>
      <c r="AS679" s="7"/>
      <c r="AT679" s="7"/>
      <c r="AU679" s="7"/>
      <c r="AV679" s="7"/>
      <c r="AW679" s="7"/>
      <c r="AX679" s="7"/>
    </row>
    <row r="680" spans="1:50" ht="15.75" customHeigh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2"/>
      <c r="AP680" s="7"/>
      <c r="AQ680" s="7"/>
      <c r="AR680" s="7"/>
      <c r="AS680" s="7"/>
      <c r="AT680" s="7"/>
      <c r="AU680" s="7"/>
      <c r="AV680" s="7"/>
      <c r="AW680" s="7"/>
      <c r="AX680" s="7"/>
    </row>
    <row r="681" spans="1:50" ht="15.75" customHeigh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2"/>
      <c r="AP681" s="7"/>
      <c r="AQ681" s="7"/>
      <c r="AR681" s="7"/>
      <c r="AS681" s="7"/>
      <c r="AT681" s="7"/>
      <c r="AU681" s="7"/>
      <c r="AV681" s="7"/>
      <c r="AW681" s="7"/>
      <c r="AX681" s="7"/>
    </row>
    <row r="682" spans="1:50" ht="15.75" customHeigh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2"/>
      <c r="AP682" s="7"/>
      <c r="AQ682" s="7"/>
      <c r="AR682" s="7"/>
      <c r="AS682" s="7"/>
      <c r="AT682" s="7"/>
      <c r="AU682" s="7"/>
      <c r="AV682" s="7"/>
      <c r="AW682" s="7"/>
      <c r="AX682" s="7"/>
    </row>
    <row r="683" spans="1:50" ht="15.75" customHeigh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2"/>
      <c r="AP683" s="7"/>
      <c r="AQ683" s="7"/>
      <c r="AR683" s="7"/>
      <c r="AS683" s="7"/>
      <c r="AT683" s="7"/>
      <c r="AU683" s="7"/>
      <c r="AV683" s="7"/>
      <c r="AW683" s="7"/>
      <c r="AX683" s="7"/>
    </row>
    <row r="684" spans="1:50" ht="15.75" customHeigh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2"/>
      <c r="AP684" s="7"/>
      <c r="AQ684" s="7"/>
      <c r="AR684" s="7"/>
      <c r="AS684" s="7"/>
      <c r="AT684" s="7"/>
      <c r="AU684" s="7"/>
      <c r="AV684" s="7"/>
      <c r="AW684" s="7"/>
      <c r="AX684" s="7"/>
    </row>
    <row r="685" spans="1:50" ht="15.75" customHeigh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2"/>
      <c r="AP685" s="7"/>
      <c r="AQ685" s="7"/>
      <c r="AR685" s="7"/>
      <c r="AS685" s="7"/>
      <c r="AT685" s="7"/>
      <c r="AU685" s="7"/>
      <c r="AV685" s="7"/>
      <c r="AW685" s="7"/>
      <c r="AX685" s="7"/>
    </row>
    <row r="686" spans="1:50" ht="15.75" customHeigh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2"/>
      <c r="AP686" s="7"/>
      <c r="AQ686" s="7"/>
      <c r="AR686" s="7"/>
      <c r="AS686" s="7"/>
      <c r="AT686" s="7"/>
      <c r="AU686" s="7"/>
      <c r="AV686" s="7"/>
      <c r="AW686" s="7"/>
      <c r="AX686" s="7"/>
    </row>
    <row r="687" spans="1:50" ht="15.75" customHeigh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2"/>
      <c r="AP687" s="7"/>
      <c r="AQ687" s="7"/>
      <c r="AR687" s="7"/>
      <c r="AS687" s="7"/>
      <c r="AT687" s="7"/>
      <c r="AU687" s="7"/>
      <c r="AV687" s="7"/>
      <c r="AW687" s="7"/>
      <c r="AX687" s="7"/>
    </row>
    <row r="688" spans="1:50" ht="15.75" customHeigh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2"/>
      <c r="AP688" s="7"/>
      <c r="AQ688" s="7"/>
      <c r="AR688" s="7"/>
      <c r="AS688" s="7"/>
      <c r="AT688" s="7"/>
      <c r="AU688" s="7"/>
      <c r="AV688" s="7"/>
      <c r="AW688" s="7"/>
      <c r="AX688" s="7"/>
    </row>
    <row r="689" spans="1:50" ht="15.75" customHeigh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2"/>
      <c r="AP689" s="7"/>
      <c r="AQ689" s="7"/>
      <c r="AR689" s="7"/>
      <c r="AS689" s="7"/>
      <c r="AT689" s="7"/>
      <c r="AU689" s="7"/>
      <c r="AV689" s="7"/>
      <c r="AW689" s="7"/>
      <c r="AX689" s="7"/>
    </row>
    <row r="690" spans="1:50" ht="15.75" customHeigh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2"/>
      <c r="AP690" s="7"/>
      <c r="AQ690" s="7"/>
      <c r="AR690" s="7"/>
      <c r="AS690" s="7"/>
      <c r="AT690" s="7"/>
      <c r="AU690" s="7"/>
      <c r="AV690" s="7"/>
      <c r="AW690" s="7"/>
      <c r="AX690" s="7"/>
    </row>
    <row r="691" spans="1:50" ht="15.75" customHeigh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2"/>
      <c r="AP691" s="7"/>
      <c r="AQ691" s="7"/>
      <c r="AR691" s="7"/>
      <c r="AS691" s="7"/>
      <c r="AT691" s="7"/>
      <c r="AU691" s="7"/>
      <c r="AV691" s="7"/>
      <c r="AW691" s="7"/>
      <c r="AX691" s="7"/>
    </row>
    <row r="692" spans="1:50" ht="15.75" customHeigh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2"/>
      <c r="AP692" s="7"/>
      <c r="AQ692" s="7"/>
      <c r="AR692" s="7"/>
      <c r="AS692" s="7"/>
      <c r="AT692" s="7"/>
      <c r="AU692" s="7"/>
      <c r="AV692" s="7"/>
      <c r="AW692" s="7"/>
      <c r="AX692" s="7"/>
    </row>
    <row r="693" spans="1:50" ht="15.75" customHeigh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2"/>
      <c r="AP693" s="7"/>
      <c r="AQ693" s="7"/>
      <c r="AR693" s="7"/>
      <c r="AS693" s="7"/>
      <c r="AT693" s="7"/>
      <c r="AU693" s="7"/>
      <c r="AV693" s="7"/>
      <c r="AW693" s="7"/>
      <c r="AX693" s="7"/>
    </row>
    <row r="694" spans="1:50" ht="15.75" customHeigh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2"/>
      <c r="AP694" s="7"/>
      <c r="AQ694" s="7"/>
      <c r="AR694" s="7"/>
      <c r="AS694" s="7"/>
      <c r="AT694" s="7"/>
      <c r="AU694" s="7"/>
      <c r="AV694" s="7"/>
      <c r="AW694" s="7"/>
      <c r="AX694" s="7"/>
    </row>
    <row r="695" spans="1:50" ht="15.75" customHeigh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2"/>
      <c r="AP695" s="7"/>
      <c r="AQ695" s="7"/>
      <c r="AR695" s="7"/>
      <c r="AS695" s="7"/>
      <c r="AT695" s="7"/>
      <c r="AU695" s="7"/>
      <c r="AV695" s="7"/>
      <c r="AW695" s="7"/>
      <c r="AX695" s="7"/>
    </row>
    <row r="696" spans="1:50" ht="15.75" customHeigh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2"/>
      <c r="AP696" s="7"/>
      <c r="AQ696" s="7"/>
      <c r="AR696" s="7"/>
      <c r="AS696" s="7"/>
      <c r="AT696" s="7"/>
      <c r="AU696" s="7"/>
      <c r="AV696" s="7"/>
      <c r="AW696" s="7"/>
      <c r="AX696" s="7"/>
    </row>
    <row r="697" spans="1:50" ht="15.75" customHeigh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2"/>
      <c r="AP697" s="7"/>
      <c r="AQ697" s="7"/>
      <c r="AR697" s="7"/>
      <c r="AS697" s="7"/>
      <c r="AT697" s="7"/>
      <c r="AU697" s="7"/>
      <c r="AV697" s="7"/>
      <c r="AW697" s="7"/>
      <c r="AX697" s="7"/>
    </row>
    <row r="698" spans="1:50" ht="15.75" customHeigh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2"/>
      <c r="AP698" s="7"/>
      <c r="AQ698" s="7"/>
      <c r="AR698" s="7"/>
      <c r="AS698" s="7"/>
      <c r="AT698" s="7"/>
      <c r="AU698" s="7"/>
      <c r="AV698" s="7"/>
      <c r="AW698" s="7"/>
      <c r="AX698" s="7"/>
    </row>
    <row r="699" spans="1:50" ht="15.75" customHeigh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2"/>
      <c r="AP699" s="7"/>
      <c r="AQ699" s="7"/>
      <c r="AR699" s="7"/>
      <c r="AS699" s="7"/>
      <c r="AT699" s="7"/>
      <c r="AU699" s="7"/>
      <c r="AV699" s="7"/>
      <c r="AW699" s="7"/>
      <c r="AX699" s="7"/>
    </row>
    <row r="700" spans="1:50" ht="15.75" customHeigh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2"/>
      <c r="AP700" s="7"/>
      <c r="AQ700" s="7"/>
      <c r="AR700" s="7"/>
      <c r="AS700" s="7"/>
      <c r="AT700" s="7"/>
      <c r="AU700" s="7"/>
      <c r="AV700" s="7"/>
      <c r="AW700" s="7"/>
      <c r="AX700" s="7"/>
    </row>
    <row r="701" spans="1:50" ht="15.75" customHeigh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2"/>
      <c r="AP701" s="7"/>
      <c r="AQ701" s="7"/>
      <c r="AR701" s="7"/>
      <c r="AS701" s="7"/>
      <c r="AT701" s="7"/>
      <c r="AU701" s="7"/>
      <c r="AV701" s="7"/>
      <c r="AW701" s="7"/>
      <c r="AX701" s="7"/>
    </row>
    <row r="702" spans="1:50" ht="15.75" customHeigh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2"/>
      <c r="AP702" s="7"/>
      <c r="AQ702" s="7"/>
      <c r="AR702" s="7"/>
      <c r="AS702" s="7"/>
      <c r="AT702" s="7"/>
      <c r="AU702" s="7"/>
      <c r="AV702" s="7"/>
      <c r="AW702" s="7"/>
      <c r="AX702" s="7"/>
    </row>
    <row r="703" spans="1:50" ht="15.75" customHeigh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2"/>
      <c r="AP703" s="7"/>
      <c r="AQ703" s="7"/>
      <c r="AR703" s="7"/>
      <c r="AS703" s="7"/>
      <c r="AT703" s="7"/>
      <c r="AU703" s="7"/>
      <c r="AV703" s="7"/>
      <c r="AW703" s="7"/>
      <c r="AX703" s="7"/>
    </row>
    <row r="704" spans="1:50" ht="15.75" customHeigh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2"/>
      <c r="AP704" s="7"/>
      <c r="AQ704" s="7"/>
      <c r="AR704" s="7"/>
      <c r="AS704" s="7"/>
      <c r="AT704" s="7"/>
      <c r="AU704" s="7"/>
      <c r="AV704" s="7"/>
      <c r="AW704" s="7"/>
      <c r="AX704" s="7"/>
    </row>
    <row r="705" spans="1:50" ht="15.75" customHeigh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2"/>
      <c r="AP705" s="7"/>
      <c r="AQ705" s="7"/>
      <c r="AR705" s="7"/>
      <c r="AS705" s="7"/>
      <c r="AT705" s="7"/>
      <c r="AU705" s="7"/>
      <c r="AV705" s="7"/>
      <c r="AW705" s="7"/>
      <c r="AX705" s="7"/>
    </row>
    <row r="706" spans="1:50" ht="15.75" customHeigh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2"/>
      <c r="AP706" s="7"/>
      <c r="AQ706" s="7"/>
      <c r="AR706" s="7"/>
      <c r="AS706" s="7"/>
      <c r="AT706" s="7"/>
      <c r="AU706" s="7"/>
      <c r="AV706" s="7"/>
      <c r="AW706" s="7"/>
      <c r="AX706" s="7"/>
    </row>
    <row r="707" spans="1:50" ht="15.75" customHeigh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2"/>
      <c r="AP707" s="7"/>
      <c r="AQ707" s="7"/>
      <c r="AR707" s="7"/>
      <c r="AS707" s="7"/>
      <c r="AT707" s="7"/>
      <c r="AU707" s="7"/>
      <c r="AV707" s="7"/>
      <c r="AW707" s="7"/>
      <c r="AX707" s="7"/>
    </row>
    <row r="708" spans="1:50" ht="15.75" customHeigh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2"/>
      <c r="AP708" s="7"/>
      <c r="AQ708" s="7"/>
      <c r="AR708" s="7"/>
      <c r="AS708" s="7"/>
      <c r="AT708" s="7"/>
      <c r="AU708" s="7"/>
      <c r="AV708" s="7"/>
      <c r="AW708" s="7"/>
      <c r="AX708" s="7"/>
    </row>
    <row r="709" spans="1:50" ht="15.75" customHeigh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2"/>
      <c r="AP709" s="7"/>
      <c r="AQ709" s="7"/>
      <c r="AR709" s="7"/>
      <c r="AS709" s="7"/>
      <c r="AT709" s="7"/>
      <c r="AU709" s="7"/>
      <c r="AV709" s="7"/>
      <c r="AW709" s="7"/>
      <c r="AX709" s="7"/>
    </row>
    <row r="710" spans="1:50" ht="15.75" customHeigh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2"/>
      <c r="AP710" s="7"/>
      <c r="AQ710" s="7"/>
      <c r="AR710" s="7"/>
      <c r="AS710" s="7"/>
      <c r="AT710" s="7"/>
      <c r="AU710" s="7"/>
      <c r="AV710" s="7"/>
      <c r="AW710" s="7"/>
      <c r="AX710" s="7"/>
    </row>
    <row r="711" spans="1:50" ht="15.75" customHeigh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2"/>
      <c r="AP711" s="7"/>
      <c r="AQ711" s="7"/>
      <c r="AR711" s="7"/>
      <c r="AS711" s="7"/>
      <c r="AT711" s="7"/>
      <c r="AU711" s="7"/>
      <c r="AV711" s="7"/>
      <c r="AW711" s="7"/>
      <c r="AX711" s="7"/>
    </row>
    <row r="712" spans="1:50" ht="15.75" customHeigh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2"/>
      <c r="AP712" s="7"/>
      <c r="AQ712" s="7"/>
      <c r="AR712" s="7"/>
      <c r="AS712" s="7"/>
      <c r="AT712" s="7"/>
      <c r="AU712" s="7"/>
      <c r="AV712" s="7"/>
      <c r="AW712" s="7"/>
      <c r="AX712" s="7"/>
    </row>
    <row r="713" spans="1:50" ht="15.75" customHeigh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2"/>
      <c r="AP713" s="7"/>
      <c r="AQ713" s="7"/>
      <c r="AR713" s="7"/>
      <c r="AS713" s="7"/>
      <c r="AT713" s="7"/>
      <c r="AU713" s="7"/>
      <c r="AV713" s="7"/>
      <c r="AW713" s="7"/>
      <c r="AX713" s="7"/>
    </row>
    <row r="714" spans="1:50" ht="15.75" customHeigh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2"/>
      <c r="AP714" s="7"/>
      <c r="AQ714" s="7"/>
      <c r="AR714" s="7"/>
      <c r="AS714" s="7"/>
      <c r="AT714" s="7"/>
      <c r="AU714" s="7"/>
      <c r="AV714" s="7"/>
      <c r="AW714" s="7"/>
      <c r="AX714" s="7"/>
    </row>
    <row r="715" spans="1:50" ht="15.75" customHeigh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</row>
    <row r="716" spans="1:50" ht="15.75" customHeigh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</row>
    <row r="717" spans="1:50" ht="15.75" customHeigh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</row>
    <row r="718" spans="1:50" ht="15.75" customHeigh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</row>
    <row r="719" spans="1:50" ht="15.75" customHeigh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</row>
    <row r="720" spans="1:50" ht="15.75" customHeigh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</row>
    <row r="721" spans="1:41" ht="15.75" customHeigh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</row>
    <row r="722" spans="1:41" ht="15.75" customHeigh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</row>
    <row r="723" spans="1:41" ht="15.75" customHeigh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</row>
    <row r="724" spans="1:41" ht="15.75" customHeigh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</row>
    <row r="725" spans="1:41" ht="15.75" customHeigh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</row>
    <row r="726" spans="1:41" ht="15.75" customHeigh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</row>
    <row r="727" spans="1:41" ht="15.75" customHeigh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</row>
    <row r="728" spans="1:41" ht="15.75" customHeigh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</row>
    <row r="729" spans="1:41" ht="15.75" customHeigh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</row>
    <row r="730" spans="1:41" ht="15.75" customHeigh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</row>
    <row r="731" spans="1:41" ht="15.75" customHeigh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</row>
    <row r="732" spans="1:41" ht="15.75" customHeigh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</row>
    <row r="733" spans="1:41" ht="15.75" customHeigh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</row>
    <row r="734" spans="1:41" ht="15.75" customHeigh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</row>
    <row r="735" spans="1:41" ht="15.75" customHeigh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</row>
    <row r="736" spans="1:41" ht="15.75" customHeigh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</row>
    <row r="737" spans="1:41" ht="15.75" customHeigh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</row>
    <row r="738" spans="1:41" ht="15.75" customHeigh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</row>
    <row r="739" spans="1:41" ht="15.75" customHeigh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</row>
    <row r="740" spans="1:41" ht="15.75" customHeigh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</row>
    <row r="741" spans="1:41" ht="15.75" customHeigh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</row>
    <row r="742" spans="1:41" ht="15.75" customHeigh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</row>
    <row r="743" spans="1:41" ht="15.75" customHeigh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</row>
    <row r="744" spans="1:41" ht="15.75" customHeigh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</row>
    <row r="745" spans="1:41" ht="15.75" customHeigh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</row>
    <row r="746" spans="1:41" ht="15.75" customHeigh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</row>
    <row r="747" spans="1:41" ht="15.75" customHeigh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</row>
    <row r="748" spans="1:41" ht="15.75" customHeigh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</row>
    <row r="749" spans="1:41" ht="15.75" customHeigh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</row>
    <row r="750" spans="1:41" ht="15.75" customHeigh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</row>
    <row r="751" spans="1:41" ht="15.75" customHeigh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</row>
    <row r="752" spans="1:41" ht="15.75" customHeigh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</row>
    <row r="753" spans="1:41" ht="15.75" customHeigh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</row>
    <row r="754" spans="1:41" ht="15.75" customHeigh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</row>
    <row r="755" spans="1:41" ht="15.75" customHeigh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</row>
    <row r="756" spans="1:41" ht="15.75" customHeigh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</row>
    <row r="757" spans="1:41" ht="15.75" customHeigh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</row>
    <row r="758" spans="1:41" ht="15.75" customHeigh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</row>
    <row r="759" spans="1:41" ht="15.75" customHeigh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</row>
    <row r="760" spans="1:41" ht="15.75" customHeigh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</row>
    <row r="761" spans="1:41" ht="15.75" customHeigh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</row>
    <row r="762" spans="1:41" ht="15.75" customHeigh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</row>
    <row r="763" spans="1:41" ht="15.75" customHeigh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</row>
    <row r="764" spans="1:41" ht="15.75" customHeigh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</row>
    <row r="765" spans="1:41" ht="15.75" customHeigh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</row>
    <row r="766" spans="1:41" ht="15.75" customHeigh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</row>
    <row r="767" spans="1:41" ht="15.75" customHeigh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</row>
    <row r="768" spans="1:41" ht="15.75" customHeigh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</row>
    <row r="769" spans="1:41" ht="15.75" customHeigh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</row>
    <row r="770" spans="1:41" ht="15.75" customHeigh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</row>
    <row r="771" spans="1:41" ht="15.75" customHeigh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</row>
    <row r="772" spans="1:41" ht="15.75" customHeigh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</row>
    <row r="773" spans="1:41" ht="15.75" customHeigh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</row>
    <row r="774" spans="1:41" ht="15.75" customHeigh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</row>
    <row r="775" spans="1:41" ht="15.75" customHeigh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</row>
    <row r="776" spans="1:41" ht="15.75" customHeigh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</row>
    <row r="777" spans="1:41" ht="15.75" customHeigh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</row>
    <row r="778" spans="1:41" ht="15.75" customHeigh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</row>
    <row r="779" spans="1:41" ht="15.75" customHeigh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</row>
    <row r="780" spans="1:41" ht="15.75" customHeigh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</row>
    <row r="781" spans="1:41" ht="15.75" customHeigh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</row>
    <row r="782" spans="1:41" ht="15.75" customHeigh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</row>
    <row r="783" spans="1:41" ht="15.75" customHeigh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</row>
    <row r="784" spans="1:41" ht="15.75" customHeigh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</row>
    <row r="785" spans="1:41" ht="15.75" customHeigh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</row>
    <row r="786" spans="1:41" ht="15.75" customHeigh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</row>
    <row r="787" spans="1:41" ht="15.75" customHeigh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</row>
    <row r="788" spans="1:41" ht="15.75" customHeigh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</row>
    <row r="789" spans="1:41" ht="15.75" customHeigh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</row>
    <row r="790" spans="1:41" ht="15.75" customHeigh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</row>
    <row r="791" spans="1:41" ht="15.75" customHeigh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</row>
    <row r="792" spans="1:41" ht="15.75" customHeigh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</row>
    <row r="793" spans="1:41" ht="15.75" customHeigh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</row>
    <row r="794" spans="1:41" ht="15.75" customHeigh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</row>
    <row r="795" spans="1:41" ht="15.75" customHeigh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</row>
    <row r="796" spans="1:41" ht="15.75" customHeigh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</row>
    <row r="797" spans="1:41" ht="15.75" customHeigh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</row>
    <row r="798" spans="1:41" ht="15.75" customHeigh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</row>
    <row r="799" spans="1:41" ht="15.75" customHeigh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</row>
    <row r="800" spans="1:41" ht="15.75" customHeigh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</row>
    <row r="801" spans="1:41" ht="15.75" customHeigh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</row>
    <row r="802" spans="1:41" ht="15.75" customHeigh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</row>
    <row r="803" spans="1:41" ht="15.75" customHeigh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</row>
    <row r="804" spans="1:41" ht="15.75" customHeigh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</row>
    <row r="805" spans="1:41" ht="15.75" customHeigh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</row>
    <row r="806" spans="1:41" ht="15.75" customHeigh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</row>
    <row r="807" spans="1:41" ht="15.75" customHeigh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</row>
    <row r="808" spans="1:41" ht="15.75" customHeigh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</row>
    <row r="809" spans="1:41" ht="15.75" customHeigh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</row>
    <row r="810" spans="1:41" ht="15.75" customHeigh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</row>
    <row r="811" spans="1:41" ht="15.75" customHeigh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</row>
    <row r="812" spans="1:41" ht="15.75" customHeigh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</row>
    <row r="813" spans="1:41" ht="15.75" customHeigh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</row>
    <row r="814" spans="1:41" ht="15.75" customHeigh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</row>
    <row r="815" spans="1:41" ht="15.75" customHeigh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</row>
    <row r="816" spans="1:41" ht="15.75" customHeigh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</row>
    <row r="817" spans="1:41" ht="15.75" customHeigh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</row>
    <row r="818" spans="1:41" ht="15.75" customHeigh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</row>
    <row r="819" spans="1:41" ht="15.75" customHeigh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</row>
    <row r="820" spans="1:41" ht="15.75" customHeigh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</row>
    <row r="821" spans="1:41" ht="15.75" customHeigh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</row>
    <row r="822" spans="1:41" ht="15.75" customHeigh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</row>
    <row r="823" spans="1:41" ht="15.75" customHeigh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</row>
    <row r="824" spans="1:41" ht="15.75" customHeigh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</row>
    <row r="825" spans="1:41" ht="15.75" customHeigh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</row>
    <row r="826" spans="1:41" ht="15.75" customHeigh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</row>
    <row r="827" spans="1:41" ht="15.75" customHeigh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</row>
    <row r="828" spans="1:41" ht="15.75" customHeigh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</row>
    <row r="829" spans="1:41" ht="15.75" customHeigh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</row>
    <row r="830" spans="1:41" ht="15.75" customHeigh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</row>
    <row r="831" spans="1:41" ht="15.75" customHeigh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</row>
    <row r="832" spans="1:41" ht="15.75" customHeigh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</row>
    <row r="833" spans="1:41" ht="15.75" customHeigh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</row>
    <row r="834" spans="1:41" ht="15.75" customHeigh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</row>
    <row r="835" spans="1:41" ht="15.75" customHeigh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</row>
    <row r="836" spans="1:41" ht="15.75" customHeigh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</row>
    <row r="837" spans="1:41" ht="15.75" customHeigh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</row>
    <row r="838" spans="1:41" ht="15.75" customHeigh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</row>
    <row r="839" spans="1:41" ht="15.75" customHeigh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</row>
    <row r="840" spans="1:41" ht="15.75" customHeigh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</row>
    <row r="841" spans="1:41" ht="15.75" customHeigh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</row>
    <row r="842" spans="1:41" ht="15.75" customHeigh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</row>
    <row r="843" spans="1:41" ht="15.75" customHeigh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</row>
    <row r="844" spans="1:41" ht="15.75" customHeigh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</row>
    <row r="845" spans="1:41" ht="15.75" customHeigh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</row>
    <row r="846" spans="1:41" ht="15.75" customHeigh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</row>
    <row r="847" spans="1:41" ht="15.75" customHeigh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</row>
    <row r="848" spans="1:41" ht="15.75" customHeigh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</row>
    <row r="849" spans="1:41" ht="15.75" customHeigh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</row>
    <row r="850" spans="1:41" ht="15.75" customHeigh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</row>
    <row r="851" spans="1:41" ht="15.75" customHeigh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</row>
    <row r="852" spans="1:41" ht="15.75" customHeigh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</row>
    <row r="853" spans="1:41" ht="15.75" customHeigh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</row>
    <row r="854" spans="1:41" ht="15.75" customHeigh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</row>
    <row r="855" spans="1:41" ht="15.75" customHeigh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</row>
    <row r="856" spans="1:41" ht="15.75" customHeigh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</row>
    <row r="857" spans="1:41" ht="15.75" customHeigh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</row>
    <row r="858" spans="1:41" ht="15.75" customHeigh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</row>
    <row r="859" spans="1:41" ht="15.75" customHeigh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</row>
    <row r="860" spans="1:41" ht="15.75" customHeigh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</row>
    <row r="861" spans="1:41" ht="15.75" customHeigh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</row>
    <row r="862" spans="1:41" ht="15.75" customHeigh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</row>
    <row r="863" spans="1:41" ht="15.75" customHeigh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</row>
    <row r="864" spans="1:41" ht="15.75" customHeigh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</row>
    <row r="865" spans="1:41" ht="15.75" customHeigh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</row>
    <row r="866" spans="1:41" ht="15.75" customHeigh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</row>
    <row r="867" spans="1:41" ht="15.75" customHeigh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</row>
    <row r="868" spans="1:41" ht="15.75" customHeigh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</row>
    <row r="869" spans="1:41" ht="15.75" customHeigh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</row>
    <row r="870" spans="1:41" ht="15.75" customHeigh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</row>
    <row r="871" spans="1:41" ht="15.75" customHeigh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</row>
    <row r="872" spans="1:41" ht="15.75" customHeigh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</row>
    <row r="873" spans="1:41" ht="15.75" customHeigh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</row>
    <row r="874" spans="1:41" ht="15.75" customHeigh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</row>
    <row r="875" spans="1:41" ht="15.75" customHeigh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</row>
    <row r="876" spans="1:41" ht="15.75" customHeigh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</row>
    <row r="877" spans="1:41" ht="15.75" customHeigh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</row>
    <row r="878" spans="1:41" ht="15.75" customHeigh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</row>
    <row r="879" spans="1:41" ht="15.75" customHeigh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</row>
    <row r="880" spans="1:41" ht="15.75" customHeigh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</row>
    <row r="881" spans="1:41" ht="15.75" customHeigh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</row>
    <row r="882" spans="1:41" ht="15.75" customHeigh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</row>
    <row r="883" spans="1:41" ht="15.75" customHeigh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</row>
    <row r="884" spans="1:41" ht="15.75" customHeigh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</row>
    <row r="885" spans="1:41" ht="15.75" customHeigh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</row>
    <row r="886" spans="1:41" ht="15.75" customHeigh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</row>
    <row r="887" spans="1:41" ht="15.75" customHeigh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</row>
    <row r="888" spans="1:41" ht="15.75" customHeigh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</row>
    <row r="889" spans="1:41" ht="15.75" customHeigh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</row>
    <row r="890" spans="1:41" ht="15.75" customHeigh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</row>
    <row r="891" spans="1:41" ht="15.75" customHeigh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</row>
    <row r="892" spans="1:41" ht="15.75" customHeigh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</row>
    <row r="893" spans="1:41" ht="15.75" customHeigh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</row>
    <row r="894" spans="1:41" ht="15.75" customHeigh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</row>
    <row r="895" spans="1:41" ht="15.75" customHeigh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</row>
    <row r="896" spans="1:41" ht="15.75" customHeigh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</row>
    <row r="897" spans="1:41" ht="15.75" customHeigh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</row>
    <row r="898" spans="1:41" ht="15.75" customHeigh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</row>
    <row r="899" spans="1:41" ht="15.75" customHeigh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</row>
    <row r="900" spans="1:41" ht="15.75" customHeigh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</row>
    <row r="901" spans="1:41" ht="15.75" customHeigh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</row>
    <row r="902" spans="1:41" ht="15.75" customHeigh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</row>
    <row r="903" spans="1:41" ht="15.75" customHeigh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</row>
    <row r="904" spans="1:41" ht="15.75" customHeigh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</row>
    <row r="905" spans="1:41" ht="15.75" customHeigh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</row>
    <row r="906" spans="1:41" ht="15.75" customHeigh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</row>
    <row r="907" spans="1:41" ht="15.75" customHeigh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</row>
    <row r="908" spans="1:41" ht="15.75" customHeigh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</row>
    <row r="909" spans="1:41" ht="15.75" customHeigh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</row>
    <row r="910" spans="1:41" ht="15.75" customHeigh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</row>
    <row r="911" spans="1:41" ht="15.75" customHeigh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</row>
    <row r="912" spans="1:41" ht="15.75" customHeigh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</row>
    <row r="913" spans="1:41" ht="15.75" customHeigh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</row>
    <row r="914" spans="1:41" ht="15.75" customHeigh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</row>
    <row r="915" spans="1:41" ht="15.75" customHeigh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</row>
    <row r="916" spans="1:41" ht="15.75" customHeigh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</row>
    <row r="917" spans="1:41" ht="15.75" customHeigh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</row>
    <row r="918" spans="1:41" ht="15.75" customHeigh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</row>
    <row r="919" spans="1:41" ht="15.75" customHeigh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</row>
    <row r="920" spans="1:41" ht="15.75" customHeigh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</row>
    <row r="921" spans="1:41" ht="15.75" customHeigh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</row>
    <row r="922" spans="1:41" ht="15.75" customHeigh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</row>
    <row r="923" spans="1:41" ht="15.75" customHeigh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</row>
    <row r="924" spans="1:41" ht="15.75" customHeigh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</row>
    <row r="925" spans="1:41" ht="15.75" customHeigh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</row>
    <row r="926" spans="1:41" ht="15.75" customHeigh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</row>
    <row r="927" spans="1:41" ht="15.75" customHeigh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</row>
    <row r="928" spans="1:41" ht="15.75" customHeigh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</row>
    <row r="929" spans="1:41" ht="15.75" customHeigh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</row>
    <row r="930" spans="1:41" ht="15.75" customHeigh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</row>
    <row r="931" spans="1:41" ht="15.75" customHeigh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</row>
    <row r="932" spans="1:41" ht="15.75" customHeigh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</row>
    <row r="933" spans="1:41" ht="15.75" customHeigh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</row>
    <row r="934" spans="1:41" ht="15.75" customHeigh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</row>
    <row r="935" spans="1:41" ht="15.75" customHeigh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</row>
    <row r="936" spans="1:41" ht="15.75" customHeigh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</row>
    <row r="937" spans="1:41" ht="15.75" customHeigh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</row>
    <row r="938" spans="1:41" ht="15.75" customHeigh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</row>
    <row r="939" spans="1:41" ht="15.75" customHeigh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</row>
    <row r="940" spans="1:41" ht="15.75" customHeigh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</row>
    <row r="941" spans="1:41" ht="15.75" customHeigh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</row>
    <row r="942" spans="1:41" ht="15.75" customHeigh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</row>
    <row r="943" spans="1:41" ht="15.75" customHeigh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</row>
    <row r="944" spans="1:41" ht="15.75" customHeigh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</row>
    <row r="945" spans="1:41" ht="15.75" customHeigh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</row>
    <row r="946" spans="1:41" ht="15.75" customHeigh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</row>
    <row r="947" spans="1:41" ht="15.75" customHeigh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</row>
    <row r="948" spans="1:41" ht="15.75" customHeigh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</row>
    <row r="949" spans="1:41" ht="15.75" customHeigh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</row>
    <row r="950" spans="1:41" ht="15.75" customHeigh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</row>
    <row r="951" spans="1:41" ht="15.75" customHeigh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</row>
    <row r="952" spans="1:41" ht="15.75" customHeigh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</row>
    <row r="953" spans="1:41" ht="15.75" customHeigh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</row>
    <row r="954" spans="1:41" ht="15.75" customHeigh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</row>
    <row r="955" spans="1:41" ht="15.75" customHeigh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</row>
    <row r="956" spans="1:41" ht="15.75" customHeigh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</row>
    <row r="957" spans="1:41" ht="15.75" customHeigh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</row>
    <row r="958" spans="1:41" ht="15.75" customHeigh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</row>
    <row r="959" spans="1:41" ht="15.75" customHeigh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</row>
    <row r="960" spans="1:41" ht="15.75" customHeigh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</row>
    <row r="961" spans="1:41" ht="15.75" customHeigh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</row>
    <row r="962" spans="1:41" ht="15.75" customHeigh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</row>
    <row r="963" spans="1:41" ht="15.75" customHeigh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</row>
    <row r="964" spans="1:41" ht="15.75" customHeigh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</row>
    <row r="965" spans="1:41" ht="15.75" customHeigh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</row>
    <row r="966" spans="1:41" ht="15.75" customHeigh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</row>
    <row r="967" spans="1:41" ht="15.75" customHeigh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</row>
    <row r="968" spans="1:41" ht="15.75" customHeigh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</row>
    <row r="969" spans="1:41" ht="15.75" customHeigh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</row>
    <row r="970" spans="1:41" ht="15.75" customHeigh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</row>
    <row r="971" spans="1:41" ht="15.75" customHeigh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</row>
    <row r="972" spans="1:41" ht="15.75" customHeigh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</row>
    <row r="973" spans="1:41" ht="15.75" customHeigh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</row>
    <row r="974" spans="1:41" ht="15.75" customHeigh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</row>
    <row r="975" spans="1:41" ht="15.75" customHeigh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</row>
    <row r="976" spans="1:41" ht="15.75" customHeigh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</row>
    <row r="977" spans="1:41" ht="15.75" customHeigh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</row>
    <row r="978" spans="1:41" ht="15.75" customHeigh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</row>
    <row r="979" spans="1:41" ht="15.75" customHeigh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</row>
    <row r="980" spans="1:41" ht="15.75" customHeigh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</row>
    <row r="981" spans="1:41" ht="15.75" customHeigh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</row>
    <row r="982" spans="1:41" ht="15.75" customHeigh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</row>
    <row r="983" spans="1:41" ht="15.75" customHeigh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</row>
    <row r="984" spans="1:41" ht="15.75" customHeigh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</row>
    <row r="985" spans="1:41" ht="15.75" customHeigh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</row>
    <row r="986" spans="1:41" ht="15.75" customHeigh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</row>
    <row r="987" spans="1:41" ht="15.75" customHeigh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</row>
    <row r="988" spans="1:41" ht="15.75" customHeigh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</row>
    <row r="989" spans="1:41" ht="15.75" customHeigh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</row>
    <row r="990" spans="1:41" ht="15.75" customHeigh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</row>
    <row r="991" spans="1:41" ht="15.75" customHeigh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</row>
    <row r="992" spans="1:41" ht="15.75" customHeigh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52"/>
  <sheetViews>
    <sheetView tabSelected="1" zoomScale="70" zoomScaleNormal="70" workbookViewId="0">
      <selection activeCell="E11" sqref="E11"/>
    </sheetView>
  </sheetViews>
  <sheetFormatPr baseColWidth="10" defaultColWidth="11" defaultRowHeight="13.8" x14ac:dyDescent="0.25"/>
  <cols>
    <col min="1" max="1" width="11" customWidth="1"/>
    <col min="2" max="2" width="2.59765625" bestFit="1" customWidth="1"/>
    <col min="3" max="7" width="6.59765625" style="4" customWidth="1"/>
    <col min="8" max="8" width="15.19921875" style="4" customWidth="1"/>
    <col min="9" max="17" width="6.59765625" style="4" customWidth="1"/>
    <col min="18" max="50" width="6.59765625" customWidth="1"/>
    <col min="51" max="53" width="11" customWidth="1"/>
  </cols>
  <sheetData>
    <row r="1" spans="1:52" ht="15" customHeight="1" x14ac:dyDescent="0.3">
      <c r="A1" s="11"/>
      <c r="B1" s="11"/>
      <c r="C1" s="11" t="s">
        <v>0</v>
      </c>
      <c r="D1" s="11" t="s">
        <v>1</v>
      </c>
      <c r="E1" s="11" t="s">
        <v>2</v>
      </c>
      <c r="F1" s="11" t="s">
        <v>3</v>
      </c>
      <c r="G1" s="11" t="s">
        <v>4</v>
      </c>
      <c r="H1" s="11" t="s">
        <v>47</v>
      </c>
      <c r="I1" s="11" t="s">
        <v>5</v>
      </c>
      <c r="J1" s="11" t="s">
        <v>6</v>
      </c>
      <c r="K1" s="11" t="s">
        <v>7</v>
      </c>
      <c r="L1" s="11" t="s">
        <v>8</v>
      </c>
      <c r="M1" s="11" t="s">
        <v>9</v>
      </c>
      <c r="N1" s="11" t="s">
        <v>10</v>
      </c>
      <c r="O1" s="11" t="s">
        <v>11</v>
      </c>
      <c r="P1" s="11" t="s">
        <v>12</v>
      </c>
      <c r="Q1" s="11" t="s">
        <v>13</v>
      </c>
      <c r="R1" s="11" t="s">
        <v>14</v>
      </c>
      <c r="S1" s="11" t="s">
        <v>15</v>
      </c>
      <c r="T1" s="11" t="s">
        <v>16</v>
      </c>
      <c r="U1" s="11" t="s">
        <v>17</v>
      </c>
      <c r="V1" s="11" t="s">
        <v>18</v>
      </c>
      <c r="W1" s="11" t="s">
        <v>19</v>
      </c>
      <c r="X1" s="11" t="s">
        <v>20</v>
      </c>
      <c r="Y1" s="11" t="s">
        <v>21</v>
      </c>
      <c r="Z1" s="11" t="s">
        <v>22</v>
      </c>
      <c r="AA1" s="11" t="s">
        <v>23</v>
      </c>
      <c r="AB1" s="11" t="s">
        <v>24</v>
      </c>
      <c r="AC1" s="11" t="s">
        <v>25</v>
      </c>
      <c r="AD1" s="11" t="s">
        <v>26</v>
      </c>
      <c r="AE1" s="11" t="s">
        <v>27</v>
      </c>
      <c r="AF1" s="11" t="s">
        <v>28</v>
      </c>
      <c r="AG1" s="11" t="s">
        <v>29</v>
      </c>
      <c r="AH1" s="11" t="s">
        <v>30</v>
      </c>
      <c r="AI1" s="11" t="s">
        <v>31</v>
      </c>
      <c r="AJ1" s="11" t="s">
        <v>32</v>
      </c>
      <c r="AK1" s="11" t="s">
        <v>33</v>
      </c>
      <c r="AL1" s="11" t="s">
        <v>34</v>
      </c>
      <c r="AM1" s="11" t="s">
        <v>35</v>
      </c>
      <c r="AN1" s="11" t="s">
        <v>36</v>
      </c>
      <c r="AO1" s="12" t="s">
        <v>37</v>
      </c>
      <c r="AP1" s="11" t="s">
        <v>38</v>
      </c>
      <c r="AQ1" s="11" t="s">
        <v>39</v>
      </c>
      <c r="AR1" s="11" t="s">
        <v>40</v>
      </c>
      <c r="AS1" s="11" t="s">
        <v>41</v>
      </c>
      <c r="AT1" s="11" t="s">
        <v>42</v>
      </c>
      <c r="AU1" s="11" t="s">
        <v>43</v>
      </c>
      <c r="AV1" s="11" t="s">
        <v>44</v>
      </c>
      <c r="AW1" s="11" t="s">
        <v>45</v>
      </c>
      <c r="AX1" s="11" t="s">
        <v>46</v>
      </c>
      <c r="AZ1" s="4" t="s">
        <v>67</v>
      </c>
    </row>
    <row r="2" spans="1:52" ht="15" customHeight="1" x14ac:dyDescent="0.3">
      <c r="A2" s="11"/>
      <c r="B2" s="11"/>
      <c r="C2" s="11">
        <f t="shared" ref="C2:AX2" si="0">B2+1</f>
        <v>1</v>
      </c>
      <c r="D2" s="11">
        <f t="shared" si="0"/>
        <v>2</v>
      </c>
      <c r="E2" s="11">
        <f t="shared" si="0"/>
        <v>3</v>
      </c>
      <c r="F2" s="11">
        <f t="shared" si="0"/>
        <v>4</v>
      </c>
      <c r="G2" s="11">
        <f t="shared" si="0"/>
        <v>5</v>
      </c>
      <c r="H2" s="11">
        <f t="shared" si="0"/>
        <v>6</v>
      </c>
      <c r="I2" s="11">
        <f t="shared" si="0"/>
        <v>7</v>
      </c>
      <c r="J2" s="11">
        <f t="shared" si="0"/>
        <v>8</v>
      </c>
      <c r="K2" s="11">
        <f t="shared" si="0"/>
        <v>9</v>
      </c>
      <c r="L2" s="11">
        <f t="shared" si="0"/>
        <v>10</v>
      </c>
      <c r="M2" s="11">
        <f t="shared" si="0"/>
        <v>11</v>
      </c>
      <c r="N2" s="11">
        <f t="shared" si="0"/>
        <v>12</v>
      </c>
      <c r="O2" s="11">
        <f t="shared" si="0"/>
        <v>13</v>
      </c>
      <c r="P2" s="11">
        <f t="shared" si="0"/>
        <v>14</v>
      </c>
      <c r="Q2" s="11">
        <f t="shared" si="0"/>
        <v>15</v>
      </c>
      <c r="R2" s="11">
        <f t="shared" si="0"/>
        <v>16</v>
      </c>
      <c r="S2" s="11">
        <f t="shared" si="0"/>
        <v>17</v>
      </c>
      <c r="T2" s="11">
        <f t="shared" si="0"/>
        <v>18</v>
      </c>
      <c r="U2" s="11">
        <f t="shared" si="0"/>
        <v>19</v>
      </c>
      <c r="V2" s="11">
        <f t="shared" si="0"/>
        <v>20</v>
      </c>
      <c r="W2" s="11">
        <f t="shared" si="0"/>
        <v>21</v>
      </c>
      <c r="X2" s="11">
        <f t="shared" si="0"/>
        <v>22</v>
      </c>
      <c r="Y2" s="11">
        <f t="shared" si="0"/>
        <v>23</v>
      </c>
      <c r="Z2" s="11">
        <f t="shared" si="0"/>
        <v>24</v>
      </c>
      <c r="AA2" s="11">
        <f t="shared" si="0"/>
        <v>25</v>
      </c>
      <c r="AB2" s="11">
        <f t="shared" si="0"/>
        <v>26</v>
      </c>
      <c r="AC2" s="11">
        <f t="shared" si="0"/>
        <v>27</v>
      </c>
      <c r="AD2" s="11">
        <f t="shared" si="0"/>
        <v>28</v>
      </c>
      <c r="AE2" s="11">
        <f t="shared" si="0"/>
        <v>29</v>
      </c>
      <c r="AF2" s="11">
        <f t="shared" si="0"/>
        <v>30</v>
      </c>
      <c r="AG2" s="11">
        <f t="shared" si="0"/>
        <v>31</v>
      </c>
      <c r="AH2" s="11">
        <f t="shared" si="0"/>
        <v>32</v>
      </c>
      <c r="AI2" s="11">
        <f t="shared" si="0"/>
        <v>33</v>
      </c>
      <c r="AJ2" s="11">
        <f t="shared" si="0"/>
        <v>34</v>
      </c>
      <c r="AK2" s="11">
        <f t="shared" si="0"/>
        <v>35</v>
      </c>
      <c r="AL2" s="11">
        <f t="shared" si="0"/>
        <v>36</v>
      </c>
      <c r="AM2" s="11">
        <f t="shared" si="0"/>
        <v>37</v>
      </c>
      <c r="AN2" s="11">
        <f t="shared" si="0"/>
        <v>38</v>
      </c>
      <c r="AO2" s="12">
        <f t="shared" si="0"/>
        <v>39</v>
      </c>
      <c r="AP2" s="11">
        <f t="shared" si="0"/>
        <v>40</v>
      </c>
      <c r="AQ2" s="11">
        <f t="shared" si="0"/>
        <v>41</v>
      </c>
      <c r="AR2" s="11">
        <f t="shared" si="0"/>
        <v>42</v>
      </c>
      <c r="AS2" s="11">
        <f t="shared" si="0"/>
        <v>43</v>
      </c>
      <c r="AT2" s="11">
        <f t="shared" si="0"/>
        <v>44</v>
      </c>
      <c r="AU2" s="11">
        <f t="shared" si="0"/>
        <v>45</v>
      </c>
      <c r="AV2" s="11">
        <f t="shared" si="0"/>
        <v>46</v>
      </c>
      <c r="AW2" s="11">
        <f t="shared" si="0"/>
        <v>47</v>
      </c>
      <c r="AX2" s="11">
        <f t="shared" si="0"/>
        <v>48</v>
      </c>
      <c r="AZ2" s="4"/>
    </row>
    <row r="3" spans="1:52" ht="15" customHeight="1" x14ac:dyDescent="0.3">
      <c r="A3" s="11" t="s">
        <v>0</v>
      </c>
      <c r="B3" s="11">
        <f t="shared" ref="B3:B50" si="1">B2+1</f>
        <v>1</v>
      </c>
      <c r="C3" s="13">
        <v>0</v>
      </c>
      <c r="D3" s="14">
        <v>0</v>
      </c>
      <c r="E3" s="14">
        <v>1</v>
      </c>
      <c r="F3" s="14">
        <v>0</v>
      </c>
      <c r="G3" s="14">
        <v>0</v>
      </c>
      <c r="H3" s="14">
        <v>0</v>
      </c>
      <c r="I3" s="14">
        <v>0</v>
      </c>
      <c r="J3" s="14">
        <v>0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5">
        <v>0</v>
      </c>
      <c r="S3" s="15">
        <v>0</v>
      </c>
      <c r="T3" s="16">
        <v>0</v>
      </c>
      <c r="U3" s="16">
        <v>0</v>
      </c>
      <c r="V3" s="16">
        <v>0</v>
      </c>
      <c r="W3" s="16">
        <v>0</v>
      </c>
      <c r="X3" s="16">
        <v>0</v>
      </c>
      <c r="Y3" s="16">
        <v>0</v>
      </c>
      <c r="Z3" s="16">
        <v>0</v>
      </c>
      <c r="AA3" s="16">
        <v>0</v>
      </c>
      <c r="AB3" s="16">
        <v>0</v>
      </c>
      <c r="AC3" s="16">
        <v>0</v>
      </c>
      <c r="AD3" s="16">
        <v>0</v>
      </c>
      <c r="AE3" s="17">
        <v>0</v>
      </c>
      <c r="AF3" s="17">
        <v>0</v>
      </c>
      <c r="AG3" s="17">
        <v>0</v>
      </c>
      <c r="AH3" s="17">
        <v>0</v>
      </c>
      <c r="AI3" s="17">
        <v>0</v>
      </c>
      <c r="AJ3" s="17">
        <v>0</v>
      </c>
      <c r="AK3" s="17">
        <v>0</v>
      </c>
      <c r="AL3" s="17">
        <v>0</v>
      </c>
      <c r="AM3" s="17">
        <v>0</v>
      </c>
      <c r="AN3" s="17">
        <v>0</v>
      </c>
      <c r="AO3" s="18">
        <v>0</v>
      </c>
      <c r="AP3" s="14">
        <v>0</v>
      </c>
      <c r="AQ3" s="17">
        <v>0</v>
      </c>
      <c r="AR3" s="14">
        <v>0</v>
      </c>
      <c r="AS3" s="14">
        <v>0</v>
      </c>
      <c r="AT3" s="14">
        <v>0</v>
      </c>
      <c r="AU3" s="14">
        <v>0</v>
      </c>
      <c r="AV3" s="14">
        <v>0</v>
      </c>
      <c r="AW3" s="14">
        <v>0</v>
      </c>
      <c r="AX3" s="14">
        <v>0</v>
      </c>
      <c r="AZ3" s="5"/>
    </row>
    <row r="4" spans="1:52" ht="15" customHeight="1" x14ac:dyDescent="0.3">
      <c r="A4" s="11" t="s">
        <v>1</v>
      </c>
      <c r="B4" s="11">
        <f t="shared" si="1"/>
        <v>2</v>
      </c>
      <c r="C4" s="14">
        <v>1</v>
      </c>
      <c r="D4" s="13">
        <v>0</v>
      </c>
      <c r="E4" s="14">
        <v>0</v>
      </c>
      <c r="F4" s="14">
        <v>0</v>
      </c>
      <c r="G4" s="14">
        <v>0</v>
      </c>
      <c r="H4" s="14">
        <v>0</v>
      </c>
      <c r="I4" s="14">
        <v>0</v>
      </c>
      <c r="J4" s="14">
        <v>0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5">
        <v>0</v>
      </c>
      <c r="S4" s="15">
        <v>0</v>
      </c>
      <c r="T4" s="16">
        <v>0</v>
      </c>
      <c r="U4" s="16">
        <v>0</v>
      </c>
      <c r="V4" s="15">
        <v>0</v>
      </c>
      <c r="W4" s="16">
        <v>0</v>
      </c>
      <c r="X4" s="16">
        <v>0</v>
      </c>
      <c r="Y4" s="15">
        <v>0</v>
      </c>
      <c r="Z4" s="16">
        <v>0</v>
      </c>
      <c r="AA4" s="16">
        <v>0</v>
      </c>
      <c r="AB4" s="16">
        <v>0</v>
      </c>
      <c r="AC4" s="16">
        <v>0</v>
      </c>
      <c r="AD4" s="15">
        <v>0</v>
      </c>
      <c r="AE4" s="17">
        <v>0</v>
      </c>
      <c r="AF4" s="17">
        <v>0</v>
      </c>
      <c r="AG4" s="17">
        <v>0</v>
      </c>
      <c r="AH4" s="17">
        <v>0</v>
      </c>
      <c r="AI4" s="17">
        <v>0</v>
      </c>
      <c r="AJ4" s="17">
        <v>0</v>
      </c>
      <c r="AK4" s="17">
        <v>0</v>
      </c>
      <c r="AL4" s="17">
        <v>0</v>
      </c>
      <c r="AM4" s="17">
        <v>0</v>
      </c>
      <c r="AN4" s="17">
        <v>0</v>
      </c>
      <c r="AO4" s="18">
        <v>0</v>
      </c>
      <c r="AP4" s="14">
        <v>0</v>
      </c>
      <c r="AQ4" s="17">
        <v>0</v>
      </c>
      <c r="AR4" s="14">
        <v>0</v>
      </c>
      <c r="AS4" s="14">
        <v>0</v>
      </c>
      <c r="AT4" s="14">
        <v>0</v>
      </c>
      <c r="AU4" s="14">
        <v>0</v>
      </c>
      <c r="AV4" s="14">
        <v>0</v>
      </c>
      <c r="AW4" s="14">
        <v>0</v>
      </c>
      <c r="AX4" s="14">
        <v>0</v>
      </c>
      <c r="AZ4" s="5"/>
    </row>
    <row r="5" spans="1:52" ht="15" customHeight="1" x14ac:dyDescent="0.3">
      <c r="A5" s="11" t="s">
        <v>2</v>
      </c>
      <c r="B5" s="11">
        <f t="shared" si="1"/>
        <v>3</v>
      </c>
      <c r="C5" s="14">
        <v>0</v>
      </c>
      <c r="D5" s="14">
        <v>0</v>
      </c>
      <c r="E5" s="13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0</v>
      </c>
      <c r="L5" s="14">
        <v>1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6">
        <v>0</v>
      </c>
      <c r="Y5" s="15">
        <v>0</v>
      </c>
      <c r="Z5" s="15">
        <v>0</v>
      </c>
      <c r="AA5" s="15">
        <v>0</v>
      </c>
      <c r="AB5" s="15">
        <v>0</v>
      </c>
      <c r="AC5" s="16">
        <v>0</v>
      </c>
      <c r="AD5" s="16">
        <v>0</v>
      </c>
      <c r="AE5" s="17">
        <v>0</v>
      </c>
      <c r="AF5" s="17">
        <v>0</v>
      </c>
      <c r="AG5" s="17">
        <v>0</v>
      </c>
      <c r="AH5" s="17">
        <v>0</v>
      </c>
      <c r="AI5" s="17">
        <v>0</v>
      </c>
      <c r="AJ5" s="17">
        <v>0</v>
      </c>
      <c r="AK5" s="17">
        <v>0</v>
      </c>
      <c r="AL5" s="17">
        <v>0</v>
      </c>
      <c r="AM5" s="17">
        <v>0</v>
      </c>
      <c r="AN5" s="17">
        <v>0</v>
      </c>
      <c r="AO5" s="18">
        <v>0</v>
      </c>
      <c r="AP5" s="17">
        <v>0</v>
      </c>
      <c r="AQ5" s="17">
        <v>0</v>
      </c>
      <c r="AR5" s="14">
        <v>0</v>
      </c>
      <c r="AS5" s="14">
        <v>0</v>
      </c>
      <c r="AT5" s="14">
        <v>0</v>
      </c>
      <c r="AU5" s="14">
        <v>0</v>
      </c>
      <c r="AV5" s="14">
        <v>0</v>
      </c>
      <c r="AW5" s="14">
        <v>0</v>
      </c>
      <c r="AX5" s="14">
        <v>0</v>
      </c>
      <c r="AZ5" s="5"/>
    </row>
    <row r="6" spans="1:52" ht="15" customHeight="1" x14ac:dyDescent="0.3">
      <c r="A6" s="11" t="s">
        <v>3</v>
      </c>
      <c r="B6" s="11">
        <f t="shared" si="1"/>
        <v>4</v>
      </c>
      <c r="C6" s="14">
        <v>0</v>
      </c>
      <c r="D6" s="14">
        <v>0</v>
      </c>
      <c r="E6" s="14">
        <v>0</v>
      </c>
      <c r="F6" s="13">
        <v>0</v>
      </c>
      <c r="G6" s="14">
        <v>0</v>
      </c>
      <c r="H6" s="14">
        <v>0</v>
      </c>
      <c r="I6" s="14">
        <v>0</v>
      </c>
      <c r="J6" s="14">
        <v>0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6">
        <v>0</v>
      </c>
      <c r="Y6" s="15">
        <v>0</v>
      </c>
      <c r="Z6" s="15">
        <v>0</v>
      </c>
      <c r="AA6" s="15">
        <v>0</v>
      </c>
      <c r="AB6" s="15">
        <v>0</v>
      </c>
      <c r="AC6" s="16">
        <v>1</v>
      </c>
      <c r="AD6" s="16">
        <v>0</v>
      </c>
      <c r="AE6" s="17">
        <v>0</v>
      </c>
      <c r="AF6" s="17">
        <v>0</v>
      </c>
      <c r="AG6" s="17">
        <v>0</v>
      </c>
      <c r="AH6" s="17">
        <v>0</v>
      </c>
      <c r="AI6" s="17">
        <v>0</v>
      </c>
      <c r="AJ6" s="17">
        <v>0</v>
      </c>
      <c r="AK6" s="17">
        <v>0</v>
      </c>
      <c r="AL6" s="17">
        <v>0</v>
      </c>
      <c r="AM6" s="17">
        <v>0</v>
      </c>
      <c r="AN6" s="17">
        <v>0</v>
      </c>
      <c r="AO6" s="18">
        <v>0</v>
      </c>
      <c r="AP6" s="17">
        <v>0</v>
      </c>
      <c r="AQ6" s="17">
        <v>0</v>
      </c>
      <c r="AR6" s="14">
        <v>0</v>
      </c>
      <c r="AS6" s="14">
        <v>0</v>
      </c>
      <c r="AT6" s="14">
        <v>0</v>
      </c>
      <c r="AU6" s="14">
        <v>0</v>
      </c>
      <c r="AV6" s="14">
        <v>0</v>
      </c>
      <c r="AW6" s="14">
        <v>0</v>
      </c>
      <c r="AX6" s="14">
        <v>0</v>
      </c>
      <c r="AZ6" s="5"/>
    </row>
    <row r="7" spans="1:52" ht="15" customHeight="1" x14ac:dyDescent="0.3">
      <c r="A7" s="11" t="s">
        <v>4</v>
      </c>
      <c r="B7" s="11">
        <f t="shared" si="1"/>
        <v>5</v>
      </c>
      <c r="C7" s="14">
        <v>0</v>
      </c>
      <c r="D7" s="14">
        <v>0</v>
      </c>
      <c r="E7" s="14">
        <v>0</v>
      </c>
      <c r="F7" s="14">
        <v>0</v>
      </c>
      <c r="G7" s="13">
        <v>0</v>
      </c>
      <c r="H7" s="14">
        <v>0</v>
      </c>
      <c r="I7" s="14">
        <v>1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6">
        <v>0</v>
      </c>
      <c r="Y7" s="15">
        <v>0</v>
      </c>
      <c r="Z7" s="15">
        <v>0</v>
      </c>
      <c r="AA7" s="15">
        <v>0</v>
      </c>
      <c r="AB7" s="16">
        <v>0</v>
      </c>
      <c r="AC7" s="16">
        <v>0</v>
      </c>
      <c r="AD7" s="16">
        <v>0</v>
      </c>
      <c r="AE7" s="17">
        <v>0</v>
      </c>
      <c r="AF7" s="17">
        <v>0</v>
      </c>
      <c r="AG7" s="17">
        <v>0</v>
      </c>
      <c r="AH7" s="17">
        <v>0</v>
      </c>
      <c r="AI7" s="17">
        <v>0</v>
      </c>
      <c r="AJ7" s="17">
        <v>0</v>
      </c>
      <c r="AK7" s="17">
        <v>0</v>
      </c>
      <c r="AL7" s="17">
        <v>0</v>
      </c>
      <c r="AM7" s="17">
        <v>0</v>
      </c>
      <c r="AN7" s="17">
        <v>0</v>
      </c>
      <c r="AO7" s="18">
        <v>0</v>
      </c>
      <c r="AP7" s="17">
        <v>0</v>
      </c>
      <c r="AQ7" s="17">
        <v>0</v>
      </c>
      <c r="AR7" s="14">
        <v>0</v>
      </c>
      <c r="AS7" s="14">
        <v>0</v>
      </c>
      <c r="AT7" s="14">
        <v>0</v>
      </c>
      <c r="AU7" s="14">
        <v>0</v>
      </c>
      <c r="AV7" s="14">
        <v>0</v>
      </c>
      <c r="AW7" s="14">
        <v>0</v>
      </c>
      <c r="AX7" s="14">
        <v>0</v>
      </c>
      <c r="AZ7" s="5"/>
    </row>
    <row r="8" spans="1:52" ht="15" customHeight="1" x14ac:dyDescent="0.3">
      <c r="A8" s="11" t="s">
        <v>47</v>
      </c>
      <c r="B8" s="11">
        <f t="shared" si="1"/>
        <v>6</v>
      </c>
      <c r="C8" s="14">
        <v>0</v>
      </c>
      <c r="D8" s="14">
        <v>0</v>
      </c>
      <c r="E8" s="14">
        <v>0</v>
      </c>
      <c r="F8" s="14">
        <v>0</v>
      </c>
      <c r="G8" s="14">
        <v>1</v>
      </c>
      <c r="H8" s="13">
        <v>0</v>
      </c>
      <c r="I8" s="14">
        <v>0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6">
        <v>0</v>
      </c>
      <c r="Y8" s="15">
        <v>0</v>
      </c>
      <c r="Z8" s="16">
        <v>0</v>
      </c>
      <c r="AA8" s="15">
        <v>0</v>
      </c>
      <c r="AB8" s="16">
        <v>0</v>
      </c>
      <c r="AC8" s="16">
        <v>0</v>
      </c>
      <c r="AD8" s="16">
        <v>0</v>
      </c>
      <c r="AE8" s="17">
        <v>0</v>
      </c>
      <c r="AF8" s="17">
        <v>0</v>
      </c>
      <c r="AG8" s="17">
        <v>0</v>
      </c>
      <c r="AH8" s="17">
        <v>0</v>
      </c>
      <c r="AI8" s="17">
        <v>0</v>
      </c>
      <c r="AJ8" s="17">
        <v>0</v>
      </c>
      <c r="AK8" s="17">
        <v>0</v>
      </c>
      <c r="AL8" s="17">
        <v>0</v>
      </c>
      <c r="AM8" s="17">
        <v>0</v>
      </c>
      <c r="AN8" s="17">
        <v>0</v>
      </c>
      <c r="AO8" s="18">
        <v>0</v>
      </c>
      <c r="AP8" s="17">
        <v>0</v>
      </c>
      <c r="AQ8" s="17">
        <v>0</v>
      </c>
      <c r="AR8" s="14">
        <v>0</v>
      </c>
      <c r="AS8" s="14">
        <v>0</v>
      </c>
      <c r="AT8" s="14">
        <v>0</v>
      </c>
      <c r="AU8" s="14">
        <v>0</v>
      </c>
      <c r="AV8" s="14">
        <v>0</v>
      </c>
      <c r="AW8" s="14">
        <v>0</v>
      </c>
      <c r="AX8" s="14">
        <v>0</v>
      </c>
      <c r="AZ8" s="5"/>
    </row>
    <row r="9" spans="1:52" ht="15" customHeight="1" x14ac:dyDescent="0.3">
      <c r="A9" s="11" t="s">
        <v>5</v>
      </c>
      <c r="B9" s="11">
        <f t="shared" si="1"/>
        <v>7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3">
        <v>0</v>
      </c>
      <c r="J9" s="14">
        <v>1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6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6">
        <v>0</v>
      </c>
      <c r="Y9" s="15">
        <v>0</v>
      </c>
      <c r="Z9" s="15">
        <v>0</v>
      </c>
      <c r="AA9" s="15">
        <v>0</v>
      </c>
      <c r="AB9" s="16">
        <v>0</v>
      </c>
      <c r="AC9" s="16">
        <v>0</v>
      </c>
      <c r="AD9" s="15">
        <v>0</v>
      </c>
      <c r="AE9" s="17">
        <v>0</v>
      </c>
      <c r="AF9" s="17">
        <v>0</v>
      </c>
      <c r="AG9" s="17">
        <v>0</v>
      </c>
      <c r="AH9" s="17">
        <v>0</v>
      </c>
      <c r="AI9" s="17">
        <v>0</v>
      </c>
      <c r="AJ9" s="17">
        <v>0</v>
      </c>
      <c r="AK9" s="17">
        <v>0</v>
      </c>
      <c r="AL9" s="17">
        <v>0</v>
      </c>
      <c r="AM9" s="17">
        <v>0</v>
      </c>
      <c r="AN9" s="17">
        <v>0</v>
      </c>
      <c r="AO9" s="18">
        <v>0</v>
      </c>
      <c r="AP9" s="17">
        <v>0</v>
      </c>
      <c r="AQ9" s="17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Z9" s="5"/>
    </row>
    <row r="10" spans="1:52" ht="15" customHeight="1" x14ac:dyDescent="0.3">
      <c r="A10" s="11" t="s">
        <v>6</v>
      </c>
      <c r="B10" s="11">
        <f t="shared" si="1"/>
        <v>8</v>
      </c>
      <c r="C10" s="14">
        <v>0</v>
      </c>
      <c r="D10" s="14">
        <v>0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3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6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6">
        <v>0</v>
      </c>
      <c r="Y10" s="15">
        <v>0</v>
      </c>
      <c r="Z10" s="15">
        <v>0</v>
      </c>
      <c r="AA10" s="15">
        <v>0</v>
      </c>
      <c r="AB10" s="16">
        <v>0</v>
      </c>
      <c r="AC10" s="16">
        <v>0</v>
      </c>
      <c r="AD10" s="15">
        <v>0</v>
      </c>
      <c r="AE10" s="17">
        <v>0</v>
      </c>
      <c r="AF10" s="17">
        <v>0</v>
      </c>
      <c r="AG10" s="17">
        <v>0</v>
      </c>
      <c r="AH10" s="17">
        <v>0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7">
        <v>0</v>
      </c>
      <c r="AO10" s="18">
        <v>0</v>
      </c>
      <c r="AP10" s="17">
        <v>0</v>
      </c>
      <c r="AQ10" s="17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Z10" s="5"/>
    </row>
    <row r="11" spans="1:52" ht="15" customHeight="1" x14ac:dyDescent="0.3">
      <c r="A11" s="11" t="s">
        <v>7</v>
      </c>
      <c r="B11" s="11">
        <f t="shared" si="1"/>
        <v>9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3">
        <v>0</v>
      </c>
      <c r="L11" s="14">
        <v>0</v>
      </c>
      <c r="M11" s="14">
        <v>1</v>
      </c>
      <c r="N11" s="14">
        <v>0</v>
      </c>
      <c r="O11" s="14">
        <v>0</v>
      </c>
      <c r="P11" s="14">
        <v>0</v>
      </c>
      <c r="Q11" s="14">
        <v>0</v>
      </c>
      <c r="R11" s="16">
        <v>0</v>
      </c>
      <c r="S11" s="16">
        <v>0</v>
      </c>
      <c r="T11" s="15">
        <v>0</v>
      </c>
      <c r="U11" s="15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7">
        <v>0</v>
      </c>
      <c r="AF11" s="17">
        <v>0</v>
      </c>
      <c r="AG11" s="17">
        <v>0</v>
      </c>
      <c r="AH11" s="17">
        <v>0</v>
      </c>
      <c r="AI11" s="17">
        <v>0</v>
      </c>
      <c r="AJ11" s="17">
        <v>0</v>
      </c>
      <c r="AK11" s="17">
        <v>0</v>
      </c>
      <c r="AL11" s="17">
        <v>0</v>
      </c>
      <c r="AM11" s="17">
        <v>0</v>
      </c>
      <c r="AN11" s="17">
        <v>0</v>
      </c>
      <c r="AO11" s="18">
        <v>0</v>
      </c>
      <c r="AP11" s="17">
        <v>0</v>
      </c>
      <c r="AQ11" s="17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Z11" s="5"/>
    </row>
    <row r="12" spans="1:52" ht="15" customHeight="1" x14ac:dyDescent="0.3">
      <c r="A12" s="11" t="s">
        <v>8</v>
      </c>
      <c r="B12" s="11">
        <f t="shared" si="1"/>
        <v>10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>
        <v>0</v>
      </c>
      <c r="L12" s="13">
        <v>0</v>
      </c>
      <c r="M12" s="14">
        <v>0</v>
      </c>
      <c r="N12" s="14">
        <v>1</v>
      </c>
      <c r="O12" s="14">
        <v>0</v>
      </c>
      <c r="P12" s="14">
        <v>0</v>
      </c>
      <c r="Q12" s="14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5">
        <v>0</v>
      </c>
      <c r="X12" s="16">
        <v>0</v>
      </c>
      <c r="Y12" s="15">
        <v>0</v>
      </c>
      <c r="Z12" s="15">
        <v>0</v>
      </c>
      <c r="AA12" s="16">
        <v>0</v>
      </c>
      <c r="AB12" s="16">
        <v>0</v>
      </c>
      <c r="AC12" s="16">
        <v>0</v>
      </c>
      <c r="AD12" s="16">
        <v>0</v>
      </c>
      <c r="AE12" s="17">
        <v>0</v>
      </c>
      <c r="AF12" s="17">
        <v>0</v>
      </c>
      <c r="AG12" s="17">
        <v>0</v>
      </c>
      <c r="AH12" s="17">
        <v>0</v>
      </c>
      <c r="AI12" s="17">
        <v>0</v>
      </c>
      <c r="AJ12" s="17">
        <v>0</v>
      </c>
      <c r="AK12" s="17">
        <v>0</v>
      </c>
      <c r="AL12" s="17">
        <v>0</v>
      </c>
      <c r="AM12" s="17">
        <v>0</v>
      </c>
      <c r="AN12" s="17">
        <v>0</v>
      </c>
      <c r="AO12" s="18">
        <v>0</v>
      </c>
      <c r="AP12" s="17">
        <v>0</v>
      </c>
      <c r="AQ12" s="17">
        <v>0</v>
      </c>
      <c r="AR12" s="14">
        <v>0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Z12" s="5"/>
    </row>
    <row r="13" spans="1:52" ht="15" customHeight="1" x14ac:dyDescent="0.3">
      <c r="A13" s="11" t="s">
        <v>9</v>
      </c>
      <c r="B13" s="11">
        <f t="shared" si="1"/>
        <v>11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>
        <v>0</v>
      </c>
      <c r="L13" s="14">
        <v>0</v>
      </c>
      <c r="M13" s="13">
        <v>0</v>
      </c>
      <c r="N13" s="14">
        <v>0</v>
      </c>
      <c r="O13" s="14">
        <v>0</v>
      </c>
      <c r="P13" s="14">
        <v>0</v>
      </c>
      <c r="Q13" s="14">
        <v>0</v>
      </c>
      <c r="R13" s="16">
        <v>0</v>
      </c>
      <c r="S13" s="16">
        <v>1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7">
        <v>0</v>
      </c>
      <c r="AF13" s="17">
        <v>0</v>
      </c>
      <c r="AG13" s="17">
        <v>0</v>
      </c>
      <c r="AH13" s="17">
        <v>0</v>
      </c>
      <c r="AI13" s="17">
        <v>0</v>
      </c>
      <c r="AJ13" s="17">
        <v>0</v>
      </c>
      <c r="AK13" s="17">
        <v>0</v>
      </c>
      <c r="AL13" s="17">
        <v>0</v>
      </c>
      <c r="AM13" s="17">
        <v>0</v>
      </c>
      <c r="AN13" s="17">
        <v>0</v>
      </c>
      <c r="AO13" s="18">
        <v>0</v>
      </c>
      <c r="AP13" s="17">
        <v>0</v>
      </c>
      <c r="AQ13" s="17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Z13" s="5"/>
    </row>
    <row r="14" spans="1:52" ht="15" customHeight="1" x14ac:dyDescent="0.3">
      <c r="A14" s="11" t="s">
        <v>10</v>
      </c>
      <c r="B14" s="11">
        <f t="shared" si="1"/>
        <v>12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1</v>
      </c>
      <c r="L14" s="14">
        <v>0</v>
      </c>
      <c r="M14" s="14">
        <v>0</v>
      </c>
      <c r="N14" s="13">
        <v>0</v>
      </c>
      <c r="O14" s="14">
        <v>0</v>
      </c>
      <c r="P14" s="14">
        <v>0</v>
      </c>
      <c r="Q14" s="14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7">
        <v>0</v>
      </c>
      <c r="AF14" s="17">
        <v>0</v>
      </c>
      <c r="AG14" s="17">
        <v>0</v>
      </c>
      <c r="AH14" s="17">
        <v>0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7">
        <v>0</v>
      </c>
      <c r="AO14" s="18">
        <v>0</v>
      </c>
      <c r="AP14" s="17">
        <v>0</v>
      </c>
      <c r="AQ14" s="17">
        <v>0</v>
      </c>
      <c r="AR14" s="14">
        <v>0</v>
      </c>
      <c r="AS14" s="14">
        <v>0</v>
      </c>
      <c r="AT14" s="14">
        <v>0</v>
      </c>
      <c r="AU14" s="14">
        <v>0</v>
      </c>
      <c r="AV14" s="14">
        <v>0</v>
      </c>
      <c r="AW14" s="14">
        <v>0</v>
      </c>
      <c r="AX14" s="14">
        <v>0</v>
      </c>
      <c r="AZ14" s="5"/>
    </row>
    <row r="15" spans="1:52" ht="15" customHeight="1" x14ac:dyDescent="0.3">
      <c r="A15" s="11" t="s">
        <v>11</v>
      </c>
      <c r="B15" s="11">
        <f t="shared" si="1"/>
        <v>13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3">
        <v>0</v>
      </c>
      <c r="P15" s="14">
        <v>0</v>
      </c>
      <c r="Q15" s="14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7">
        <v>0</v>
      </c>
      <c r="AF15" s="17">
        <v>0</v>
      </c>
      <c r="AG15" s="17">
        <v>0</v>
      </c>
      <c r="AH15" s="17">
        <v>0</v>
      </c>
      <c r="AI15" s="17">
        <v>0</v>
      </c>
      <c r="AJ15" s="17">
        <v>0</v>
      </c>
      <c r="AK15" s="17">
        <v>0</v>
      </c>
      <c r="AL15" s="17">
        <v>0</v>
      </c>
      <c r="AM15" s="17">
        <v>0</v>
      </c>
      <c r="AN15" s="17">
        <v>0</v>
      </c>
      <c r="AO15" s="18">
        <v>0</v>
      </c>
      <c r="AP15" s="17">
        <v>1</v>
      </c>
      <c r="AQ15" s="17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Z15" s="5"/>
    </row>
    <row r="16" spans="1:52" ht="15" customHeight="1" x14ac:dyDescent="0.3">
      <c r="A16" s="11" t="s">
        <v>12</v>
      </c>
      <c r="B16" s="11">
        <f t="shared" si="1"/>
        <v>14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3">
        <v>0</v>
      </c>
      <c r="Q16" s="14">
        <v>0</v>
      </c>
      <c r="R16" s="15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7">
        <v>1</v>
      </c>
      <c r="AF16" s="17">
        <v>0</v>
      </c>
      <c r="AG16" s="17">
        <v>0</v>
      </c>
      <c r="AH16" s="17">
        <v>0</v>
      </c>
      <c r="AI16" s="17">
        <v>0</v>
      </c>
      <c r="AJ16" s="17">
        <v>0</v>
      </c>
      <c r="AK16" s="17">
        <v>0</v>
      </c>
      <c r="AL16" s="17">
        <v>0</v>
      </c>
      <c r="AM16" s="17">
        <v>0</v>
      </c>
      <c r="AN16" s="17">
        <v>0</v>
      </c>
      <c r="AO16" s="18">
        <v>0</v>
      </c>
      <c r="AP16" s="17">
        <v>0</v>
      </c>
      <c r="AQ16" s="17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Z16" s="5"/>
    </row>
    <row r="17" spans="1:52" ht="15" customHeight="1" x14ac:dyDescent="0.3">
      <c r="A17" s="11" t="s">
        <v>13</v>
      </c>
      <c r="B17" s="11">
        <f t="shared" si="1"/>
        <v>15</v>
      </c>
      <c r="C17" s="14">
        <v>0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3">
        <v>0</v>
      </c>
      <c r="R17" s="15">
        <v>1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7">
        <v>0</v>
      </c>
      <c r="AF17" s="17">
        <v>0</v>
      </c>
      <c r="AG17" s="17">
        <v>0</v>
      </c>
      <c r="AH17" s="17">
        <v>0</v>
      </c>
      <c r="AI17" s="17">
        <v>0</v>
      </c>
      <c r="AJ17" s="17">
        <v>0</v>
      </c>
      <c r="AK17" s="17">
        <v>0</v>
      </c>
      <c r="AL17" s="17">
        <v>0</v>
      </c>
      <c r="AM17" s="17">
        <v>0</v>
      </c>
      <c r="AN17" s="17">
        <v>0</v>
      </c>
      <c r="AO17" s="18">
        <v>0</v>
      </c>
      <c r="AP17" s="17">
        <v>0</v>
      </c>
      <c r="AQ17" s="17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0</v>
      </c>
      <c r="AX17" s="14">
        <v>0</v>
      </c>
      <c r="AZ17" s="5"/>
    </row>
    <row r="18" spans="1:52" ht="15" customHeight="1" x14ac:dyDescent="0.3">
      <c r="A18" s="11" t="s">
        <v>14</v>
      </c>
      <c r="B18" s="11">
        <f t="shared" si="1"/>
        <v>16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5">
        <v>1</v>
      </c>
      <c r="Q18" s="15">
        <v>0</v>
      </c>
      <c r="R18" s="13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7">
        <v>0</v>
      </c>
      <c r="AF18" s="17">
        <v>0</v>
      </c>
      <c r="AG18" s="17">
        <v>0</v>
      </c>
      <c r="AH18" s="17">
        <v>0</v>
      </c>
      <c r="AI18" s="17">
        <v>0</v>
      </c>
      <c r="AJ18" s="17">
        <v>0</v>
      </c>
      <c r="AK18" s="17">
        <v>0</v>
      </c>
      <c r="AL18" s="17">
        <v>0</v>
      </c>
      <c r="AM18" s="17">
        <v>0</v>
      </c>
      <c r="AN18" s="17">
        <v>0</v>
      </c>
      <c r="AO18" s="18">
        <v>0</v>
      </c>
      <c r="AP18" s="16">
        <v>0</v>
      </c>
      <c r="AQ18" s="17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Z18" s="5"/>
    </row>
    <row r="19" spans="1:52" ht="15" customHeight="1" x14ac:dyDescent="0.3">
      <c r="A19" s="11" t="s">
        <v>15</v>
      </c>
      <c r="B19" s="11">
        <f t="shared" si="1"/>
        <v>17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3">
        <v>0</v>
      </c>
      <c r="T19" s="16">
        <v>1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7">
        <v>0</v>
      </c>
      <c r="AF19" s="17">
        <v>0</v>
      </c>
      <c r="AG19" s="17">
        <v>0</v>
      </c>
      <c r="AH19" s="17">
        <v>0</v>
      </c>
      <c r="AI19" s="17">
        <v>0</v>
      </c>
      <c r="AJ19" s="17">
        <v>0</v>
      </c>
      <c r="AK19" s="17">
        <v>0</v>
      </c>
      <c r="AL19" s="17">
        <v>0</v>
      </c>
      <c r="AM19" s="17">
        <v>0</v>
      </c>
      <c r="AN19" s="17">
        <v>0</v>
      </c>
      <c r="AO19" s="18">
        <v>0</v>
      </c>
      <c r="AP19" s="16">
        <v>0</v>
      </c>
      <c r="AQ19" s="17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Z19" s="5"/>
    </row>
    <row r="20" spans="1:52" ht="15" customHeight="1" x14ac:dyDescent="0.3">
      <c r="A20" s="11" t="s">
        <v>16</v>
      </c>
      <c r="B20" s="11">
        <f t="shared" si="1"/>
        <v>18</v>
      </c>
      <c r="C20" s="16">
        <v>0</v>
      </c>
      <c r="D20" s="16">
        <v>0</v>
      </c>
      <c r="E20" s="15">
        <v>0</v>
      </c>
      <c r="F20" s="15">
        <v>0</v>
      </c>
      <c r="G20" s="15">
        <v>0</v>
      </c>
      <c r="H20" s="15">
        <v>1</v>
      </c>
      <c r="I20" s="15">
        <v>0</v>
      </c>
      <c r="J20" s="15">
        <v>0</v>
      </c>
      <c r="K20" s="15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3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7">
        <v>0</v>
      </c>
      <c r="AF20" s="17">
        <v>0</v>
      </c>
      <c r="AG20" s="17">
        <v>0</v>
      </c>
      <c r="AH20" s="17">
        <v>0</v>
      </c>
      <c r="AI20" s="17">
        <v>0</v>
      </c>
      <c r="AJ20" s="17">
        <v>0</v>
      </c>
      <c r="AK20" s="17">
        <v>0</v>
      </c>
      <c r="AL20" s="17">
        <v>0</v>
      </c>
      <c r="AM20" s="17">
        <v>0</v>
      </c>
      <c r="AN20" s="17">
        <v>0</v>
      </c>
      <c r="AO20" s="18">
        <v>0</v>
      </c>
      <c r="AP20" s="16">
        <v>0</v>
      </c>
      <c r="AQ20" s="17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Z20" s="5"/>
    </row>
    <row r="21" spans="1:52" ht="15" customHeight="1" x14ac:dyDescent="0.3">
      <c r="A21" s="11" t="s">
        <v>17</v>
      </c>
      <c r="B21" s="11">
        <f t="shared" si="1"/>
        <v>19</v>
      </c>
      <c r="C21" s="16">
        <v>0</v>
      </c>
      <c r="D21" s="16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3">
        <v>0</v>
      </c>
      <c r="V21" s="16">
        <v>0</v>
      </c>
      <c r="W21" s="16">
        <v>1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7">
        <v>0</v>
      </c>
      <c r="AF21" s="17">
        <v>0</v>
      </c>
      <c r="AG21" s="17">
        <v>0</v>
      </c>
      <c r="AH21" s="17">
        <v>0</v>
      </c>
      <c r="AI21" s="17">
        <v>0</v>
      </c>
      <c r="AJ21" s="17">
        <v>0</v>
      </c>
      <c r="AK21" s="17">
        <v>0</v>
      </c>
      <c r="AL21" s="17">
        <v>0</v>
      </c>
      <c r="AM21" s="17">
        <v>0</v>
      </c>
      <c r="AN21" s="17">
        <v>0</v>
      </c>
      <c r="AO21" s="18">
        <v>0</v>
      </c>
      <c r="AP21" s="16">
        <v>0</v>
      </c>
      <c r="AQ21" s="17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Z21" s="5"/>
    </row>
    <row r="22" spans="1:52" ht="15" customHeight="1" x14ac:dyDescent="0.3">
      <c r="A22" s="11" t="s">
        <v>18</v>
      </c>
      <c r="B22" s="11">
        <f t="shared" si="1"/>
        <v>20</v>
      </c>
      <c r="C22" s="16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1</v>
      </c>
      <c r="V22" s="13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7">
        <v>0</v>
      </c>
      <c r="AF22" s="17">
        <v>0</v>
      </c>
      <c r="AG22" s="17">
        <v>0</v>
      </c>
      <c r="AH22" s="17">
        <v>0</v>
      </c>
      <c r="AI22" s="17">
        <v>0</v>
      </c>
      <c r="AJ22" s="17">
        <v>0</v>
      </c>
      <c r="AK22" s="17">
        <v>0</v>
      </c>
      <c r="AL22" s="17">
        <v>0</v>
      </c>
      <c r="AM22" s="17">
        <v>0</v>
      </c>
      <c r="AN22" s="17">
        <v>0</v>
      </c>
      <c r="AO22" s="18">
        <v>0</v>
      </c>
      <c r="AP22" s="16">
        <v>0</v>
      </c>
      <c r="AQ22" s="17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Z22" s="5"/>
    </row>
    <row r="23" spans="1:52" ht="15" customHeight="1" x14ac:dyDescent="0.3">
      <c r="A23" s="11" t="s">
        <v>19</v>
      </c>
      <c r="B23" s="11">
        <f t="shared" si="1"/>
        <v>21</v>
      </c>
      <c r="C23" s="16">
        <v>0</v>
      </c>
      <c r="D23" s="16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6">
        <v>0</v>
      </c>
      <c r="L23" s="15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3">
        <v>0</v>
      </c>
      <c r="X23" s="16">
        <v>0</v>
      </c>
      <c r="Y23" s="16">
        <v>0</v>
      </c>
      <c r="Z23" s="16">
        <v>1</v>
      </c>
      <c r="AA23" s="16">
        <v>0</v>
      </c>
      <c r="AB23" s="16">
        <v>0</v>
      </c>
      <c r="AC23" s="16">
        <v>0</v>
      </c>
      <c r="AD23" s="16">
        <v>0</v>
      </c>
      <c r="AE23" s="17">
        <v>0</v>
      </c>
      <c r="AF23" s="17">
        <v>0</v>
      </c>
      <c r="AG23" s="17">
        <v>0</v>
      </c>
      <c r="AH23" s="17">
        <v>0</v>
      </c>
      <c r="AI23" s="17">
        <v>0</v>
      </c>
      <c r="AJ23" s="17">
        <v>0</v>
      </c>
      <c r="AK23" s="17">
        <v>0</v>
      </c>
      <c r="AL23" s="17">
        <v>0</v>
      </c>
      <c r="AM23" s="17">
        <v>0</v>
      </c>
      <c r="AN23" s="17">
        <v>0</v>
      </c>
      <c r="AO23" s="18">
        <v>0</v>
      </c>
      <c r="AP23" s="16">
        <v>0</v>
      </c>
      <c r="AQ23" s="17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Z23" s="5"/>
    </row>
    <row r="24" spans="1:52" ht="15" customHeight="1" x14ac:dyDescent="0.3">
      <c r="A24" s="11" t="s">
        <v>20</v>
      </c>
      <c r="B24" s="11">
        <f t="shared" si="1"/>
        <v>22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1</v>
      </c>
      <c r="W24" s="16">
        <v>0</v>
      </c>
      <c r="X24" s="13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7">
        <v>0</v>
      </c>
      <c r="AF24" s="17">
        <v>0</v>
      </c>
      <c r="AG24" s="17">
        <v>0</v>
      </c>
      <c r="AH24" s="17">
        <v>0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7">
        <v>0</v>
      </c>
      <c r="AO24" s="18">
        <v>0</v>
      </c>
      <c r="AP24" s="16">
        <v>0</v>
      </c>
      <c r="AQ24" s="17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Z24" s="5"/>
    </row>
    <row r="25" spans="1:52" ht="15" customHeight="1" x14ac:dyDescent="0.3">
      <c r="A25" s="11" t="s">
        <v>21</v>
      </c>
      <c r="B25" s="11">
        <f t="shared" si="1"/>
        <v>23</v>
      </c>
      <c r="C25" s="16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6">
        <v>0</v>
      </c>
      <c r="L25" s="15">
        <v>0</v>
      </c>
      <c r="M25" s="16">
        <v>0</v>
      </c>
      <c r="N25" s="16">
        <v>0</v>
      </c>
      <c r="O25" s="16">
        <v>0</v>
      </c>
      <c r="P25" s="16">
        <v>0</v>
      </c>
      <c r="Q25" s="16">
        <v>1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3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7">
        <v>0</v>
      </c>
      <c r="AF25" s="17">
        <v>0</v>
      </c>
      <c r="AG25" s="17">
        <v>0</v>
      </c>
      <c r="AH25" s="17">
        <v>0</v>
      </c>
      <c r="AI25" s="17">
        <v>0</v>
      </c>
      <c r="AJ25" s="17">
        <v>0</v>
      </c>
      <c r="AK25" s="17">
        <v>0</v>
      </c>
      <c r="AL25" s="17">
        <v>0</v>
      </c>
      <c r="AM25" s="17">
        <v>0</v>
      </c>
      <c r="AN25" s="17">
        <v>0</v>
      </c>
      <c r="AO25" s="18">
        <v>0</v>
      </c>
      <c r="AP25" s="16">
        <v>0</v>
      </c>
      <c r="AQ25" s="17">
        <v>0</v>
      </c>
      <c r="AR25" s="14">
        <v>0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Z25" s="5"/>
    </row>
    <row r="26" spans="1:52" ht="15" customHeight="1" x14ac:dyDescent="0.3">
      <c r="A26" s="11" t="s">
        <v>22</v>
      </c>
      <c r="B26" s="11">
        <f t="shared" si="1"/>
        <v>24</v>
      </c>
      <c r="C26" s="16">
        <v>0</v>
      </c>
      <c r="D26" s="16">
        <v>0</v>
      </c>
      <c r="E26" s="15">
        <v>0</v>
      </c>
      <c r="F26" s="15">
        <v>0</v>
      </c>
      <c r="G26" s="15">
        <v>0</v>
      </c>
      <c r="H26" s="16">
        <v>0</v>
      </c>
      <c r="I26" s="15">
        <v>0</v>
      </c>
      <c r="J26" s="15">
        <v>0</v>
      </c>
      <c r="K26" s="16">
        <v>0</v>
      </c>
      <c r="L26" s="15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3">
        <v>0</v>
      </c>
      <c r="AA26" s="16">
        <v>0</v>
      </c>
      <c r="AB26" s="16">
        <v>0</v>
      </c>
      <c r="AC26" s="16">
        <v>0</v>
      </c>
      <c r="AD26" s="16">
        <v>0</v>
      </c>
      <c r="AE26" s="17">
        <v>0</v>
      </c>
      <c r="AF26" s="17">
        <v>0</v>
      </c>
      <c r="AG26" s="17">
        <v>0</v>
      </c>
      <c r="AH26" s="17">
        <v>0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7">
        <v>0</v>
      </c>
      <c r="AO26" s="18">
        <v>0</v>
      </c>
      <c r="AP26" s="16">
        <v>0</v>
      </c>
      <c r="AQ26" s="17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1</v>
      </c>
      <c r="AZ26" s="5"/>
    </row>
    <row r="27" spans="1:52" ht="15" customHeight="1" x14ac:dyDescent="0.3">
      <c r="A27" s="11" t="s">
        <v>23</v>
      </c>
      <c r="B27" s="11">
        <f t="shared" si="1"/>
        <v>25</v>
      </c>
      <c r="C27" s="16">
        <v>0</v>
      </c>
      <c r="D27" s="16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3">
        <v>0</v>
      </c>
      <c r="AB27" s="16">
        <v>1</v>
      </c>
      <c r="AC27" s="16">
        <v>0</v>
      </c>
      <c r="AD27" s="16">
        <v>0</v>
      </c>
      <c r="AE27" s="17">
        <v>0</v>
      </c>
      <c r="AF27" s="17">
        <v>0</v>
      </c>
      <c r="AG27" s="17">
        <v>0</v>
      </c>
      <c r="AH27" s="17">
        <v>0</v>
      </c>
      <c r="AI27" s="17">
        <v>0</v>
      </c>
      <c r="AJ27" s="17">
        <v>0</v>
      </c>
      <c r="AK27" s="17">
        <v>0</v>
      </c>
      <c r="AL27" s="17">
        <v>0</v>
      </c>
      <c r="AM27" s="17">
        <v>0</v>
      </c>
      <c r="AN27" s="17">
        <v>0</v>
      </c>
      <c r="AO27" s="18">
        <v>0</v>
      </c>
      <c r="AP27" s="16">
        <v>0</v>
      </c>
      <c r="AQ27" s="17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Z27" s="5"/>
    </row>
    <row r="28" spans="1:52" ht="15" customHeight="1" x14ac:dyDescent="0.3">
      <c r="A28" s="11" t="s">
        <v>24</v>
      </c>
      <c r="B28" s="11">
        <f t="shared" si="1"/>
        <v>26</v>
      </c>
      <c r="C28" s="16">
        <v>0</v>
      </c>
      <c r="D28" s="16">
        <v>0</v>
      </c>
      <c r="E28" s="15">
        <v>0</v>
      </c>
      <c r="F28" s="15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1</v>
      </c>
      <c r="Z28" s="16">
        <v>0</v>
      </c>
      <c r="AA28" s="16">
        <v>0</v>
      </c>
      <c r="AB28" s="13">
        <v>0</v>
      </c>
      <c r="AC28" s="16">
        <v>0</v>
      </c>
      <c r="AD28" s="16">
        <v>0</v>
      </c>
      <c r="AE28" s="17">
        <v>0</v>
      </c>
      <c r="AF28" s="17">
        <v>0</v>
      </c>
      <c r="AG28" s="17">
        <v>0</v>
      </c>
      <c r="AH28" s="17">
        <v>0</v>
      </c>
      <c r="AI28" s="17">
        <v>0</v>
      </c>
      <c r="AJ28" s="17">
        <v>0</v>
      </c>
      <c r="AK28" s="17">
        <v>0</v>
      </c>
      <c r="AL28" s="17">
        <v>0</v>
      </c>
      <c r="AM28" s="17">
        <v>0</v>
      </c>
      <c r="AN28" s="17">
        <v>0</v>
      </c>
      <c r="AO28" s="18">
        <v>0</v>
      </c>
      <c r="AP28" s="16">
        <v>0</v>
      </c>
      <c r="AQ28" s="17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Z28" s="5"/>
    </row>
    <row r="29" spans="1:52" ht="15" customHeight="1" x14ac:dyDescent="0.3">
      <c r="A29" s="11" t="s">
        <v>25</v>
      </c>
      <c r="B29" s="11">
        <f t="shared" si="1"/>
        <v>27</v>
      </c>
      <c r="C29" s="16">
        <v>0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3">
        <v>0</v>
      </c>
      <c r="AD29" s="16">
        <v>1</v>
      </c>
      <c r="AE29" s="17">
        <v>0</v>
      </c>
      <c r="AF29" s="17">
        <v>0</v>
      </c>
      <c r="AG29" s="17">
        <v>0</v>
      </c>
      <c r="AH29" s="17">
        <v>0</v>
      </c>
      <c r="AI29" s="17">
        <v>0</v>
      </c>
      <c r="AJ29" s="17">
        <v>0</v>
      </c>
      <c r="AK29" s="17">
        <v>0</v>
      </c>
      <c r="AL29" s="17">
        <v>0</v>
      </c>
      <c r="AM29" s="17">
        <v>0</v>
      </c>
      <c r="AN29" s="17">
        <v>0</v>
      </c>
      <c r="AO29" s="18">
        <v>0</v>
      </c>
      <c r="AP29" s="16">
        <v>0</v>
      </c>
      <c r="AQ29" s="17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Z29" s="5"/>
    </row>
    <row r="30" spans="1:52" ht="15" customHeight="1" x14ac:dyDescent="0.3">
      <c r="A30" s="11" t="s">
        <v>26</v>
      </c>
      <c r="B30" s="11">
        <f t="shared" si="1"/>
        <v>28</v>
      </c>
      <c r="C30" s="16">
        <v>0</v>
      </c>
      <c r="D30" s="15">
        <v>0</v>
      </c>
      <c r="E30" s="16">
        <v>0</v>
      </c>
      <c r="F30" s="16">
        <v>0</v>
      </c>
      <c r="G30" s="16">
        <v>0</v>
      </c>
      <c r="H30" s="16">
        <v>0</v>
      </c>
      <c r="I30" s="15">
        <v>0</v>
      </c>
      <c r="J30" s="15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1</v>
      </c>
      <c r="AB30" s="16">
        <v>0</v>
      </c>
      <c r="AC30" s="16">
        <v>0</v>
      </c>
      <c r="AD30" s="13">
        <v>0</v>
      </c>
      <c r="AE30" s="17">
        <v>0</v>
      </c>
      <c r="AF30" s="17">
        <v>0</v>
      </c>
      <c r="AG30" s="17">
        <v>0</v>
      </c>
      <c r="AH30" s="17">
        <v>0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7">
        <v>0</v>
      </c>
      <c r="AO30" s="18">
        <v>0</v>
      </c>
      <c r="AP30" s="16">
        <v>0</v>
      </c>
      <c r="AQ30" s="17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Z30" s="5"/>
    </row>
    <row r="31" spans="1:52" ht="15" customHeight="1" x14ac:dyDescent="0.3">
      <c r="A31" s="11" t="s">
        <v>27</v>
      </c>
      <c r="B31" s="11">
        <f t="shared" si="1"/>
        <v>29</v>
      </c>
      <c r="C31" s="17">
        <v>0</v>
      </c>
      <c r="D31" s="17">
        <v>0</v>
      </c>
      <c r="E31" s="17">
        <v>0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1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3">
        <v>0</v>
      </c>
      <c r="AF31" s="19">
        <v>0</v>
      </c>
      <c r="AG31" s="19">
        <v>0</v>
      </c>
      <c r="AH31" s="19">
        <v>0</v>
      </c>
      <c r="AI31" s="19">
        <v>0</v>
      </c>
      <c r="AJ31" s="19">
        <v>0</v>
      </c>
      <c r="AK31" s="19">
        <v>0</v>
      </c>
      <c r="AL31" s="19">
        <v>0</v>
      </c>
      <c r="AM31" s="19">
        <v>0</v>
      </c>
      <c r="AN31" s="19">
        <v>0</v>
      </c>
      <c r="AO31" s="18">
        <v>0</v>
      </c>
      <c r="AP31" s="19">
        <v>0</v>
      </c>
      <c r="AQ31" s="19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Z31" s="5"/>
    </row>
    <row r="32" spans="1:52" ht="15" customHeight="1" x14ac:dyDescent="0.3">
      <c r="A32" s="11" t="s">
        <v>28</v>
      </c>
      <c r="B32" s="11">
        <f t="shared" si="1"/>
        <v>30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0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9">
        <v>0</v>
      </c>
      <c r="AF32" s="13">
        <v>0</v>
      </c>
      <c r="AG32" s="19">
        <v>1</v>
      </c>
      <c r="AH32" s="19">
        <v>0</v>
      </c>
      <c r="AI32" s="19">
        <v>0</v>
      </c>
      <c r="AJ32" s="19">
        <v>0</v>
      </c>
      <c r="AK32" s="19">
        <v>0</v>
      </c>
      <c r="AL32" s="19">
        <v>0</v>
      </c>
      <c r="AM32" s="19">
        <v>0</v>
      </c>
      <c r="AN32" s="19">
        <v>0</v>
      </c>
      <c r="AO32" s="18">
        <v>0</v>
      </c>
      <c r="AP32" s="19">
        <v>0</v>
      </c>
      <c r="AQ32" s="19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Z32" s="5"/>
    </row>
    <row r="33" spans="1:52" ht="15" customHeight="1" x14ac:dyDescent="0.3">
      <c r="A33" s="11" t="s">
        <v>29</v>
      </c>
      <c r="B33" s="11">
        <f t="shared" si="1"/>
        <v>31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9">
        <v>0</v>
      </c>
      <c r="AF33" s="19">
        <v>0</v>
      </c>
      <c r="AG33" s="13">
        <v>0</v>
      </c>
      <c r="AH33" s="19">
        <v>0</v>
      </c>
      <c r="AI33" s="19">
        <v>0</v>
      </c>
      <c r="AJ33" s="19">
        <v>0</v>
      </c>
      <c r="AK33" s="19">
        <v>0</v>
      </c>
      <c r="AL33" s="19">
        <v>0</v>
      </c>
      <c r="AM33" s="19">
        <v>0</v>
      </c>
      <c r="AN33" s="19">
        <v>0</v>
      </c>
      <c r="AO33" s="18">
        <v>1</v>
      </c>
      <c r="AP33" s="19">
        <v>0</v>
      </c>
      <c r="AQ33" s="19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Z33" s="5"/>
    </row>
    <row r="34" spans="1:52" ht="15" customHeight="1" x14ac:dyDescent="0.3">
      <c r="A34" s="11" t="s">
        <v>30</v>
      </c>
      <c r="B34" s="11">
        <f t="shared" si="1"/>
        <v>32</v>
      </c>
      <c r="C34" s="17">
        <v>0</v>
      </c>
      <c r="D34" s="17">
        <v>0</v>
      </c>
      <c r="E34" s="17">
        <v>0</v>
      </c>
      <c r="F34" s="17">
        <v>0</v>
      </c>
      <c r="G34" s="17">
        <v>0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9">
        <v>0</v>
      </c>
      <c r="AF34" s="19">
        <v>1</v>
      </c>
      <c r="AG34" s="19">
        <v>0</v>
      </c>
      <c r="AH34" s="13">
        <v>0</v>
      </c>
      <c r="AI34" s="19">
        <v>0</v>
      </c>
      <c r="AJ34" s="19">
        <v>0</v>
      </c>
      <c r="AK34" s="19">
        <v>0</v>
      </c>
      <c r="AL34" s="19">
        <v>0</v>
      </c>
      <c r="AM34" s="19">
        <v>0</v>
      </c>
      <c r="AN34" s="19">
        <v>0</v>
      </c>
      <c r="AO34" s="18">
        <v>0</v>
      </c>
      <c r="AP34" s="19">
        <v>0</v>
      </c>
      <c r="AQ34" s="19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Z34" s="5"/>
    </row>
    <row r="35" spans="1:52" ht="15" customHeight="1" x14ac:dyDescent="0.3">
      <c r="A35" s="11" t="s">
        <v>31</v>
      </c>
      <c r="B35" s="11">
        <f t="shared" si="1"/>
        <v>33</v>
      </c>
      <c r="C35" s="17">
        <v>0</v>
      </c>
      <c r="D35" s="17">
        <v>0</v>
      </c>
      <c r="E35" s="17">
        <v>0</v>
      </c>
      <c r="F35" s="17">
        <v>0</v>
      </c>
      <c r="G35" s="17">
        <v>0</v>
      </c>
      <c r="H35" s="17">
        <v>0</v>
      </c>
      <c r="I35" s="17">
        <v>0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9">
        <v>0</v>
      </c>
      <c r="AF35" s="19">
        <v>0</v>
      </c>
      <c r="AG35" s="19">
        <v>0</v>
      </c>
      <c r="AH35" s="19">
        <v>0</v>
      </c>
      <c r="AI35" s="13">
        <v>0</v>
      </c>
      <c r="AJ35" s="19">
        <v>0</v>
      </c>
      <c r="AK35" s="19">
        <v>0</v>
      </c>
      <c r="AL35" s="19">
        <v>0</v>
      </c>
      <c r="AM35" s="19">
        <v>0</v>
      </c>
      <c r="AN35" s="19">
        <v>0</v>
      </c>
      <c r="AO35" s="18">
        <v>0</v>
      </c>
      <c r="AP35" s="19">
        <v>0</v>
      </c>
      <c r="AQ35" s="19">
        <v>0</v>
      </c>
      <c r="AR35" s="14">
        <v>1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Z35" s="5"/>
    </row>
    <row r="36" spans="1:52" ht="15" customHeight="1" x14ac:dyDescent="0.3">
      <c r="A36" s="11" t="s">
        <v>59</v>
      </c>
      <c r="B36" s="11">
        <f t="shared" si="1"/>
        <v>34</v>
      </c>
      <c r="C36" s="17">
        <v>0</v>
      </c>
      <c r="D36" s="17">
        <v>0</v>
      </c>
      <c r="E36" s="17">
        <v>0</v>
      </c>
      <c r="F36" s="17">
        <v>0</v>
      </c>
      <c r="G36" s="17">
        <v>0</v>
      </c>
      <c r="H36" s="17">
        <v>0</v>
      </c>
      <c r="I36" s="17">
        <v>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1</v>
      </c>
      <c r="AJ36" s="13">
        <v>0</v>
      </c>
      <c r="AK36" s="19">
        <v>0</v>
      </c>
      <c r="AL36" s="19">
        <v>0</v>
      </c>
      <c r="AM36" s="19">
        <v>0</v>
      </c>
      <c r="AN36" s="19">
        <v>0</v>
      </c>
      <c r="AO36" s="18">
        <v>0</v>
      </c>
      <c r="AP36" s="19">
        <v>0</v>
      </c>
      <c r="AQ36" s="19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Z36" s="5"/>
    </row>
    <row r="37" spans="1:52" ht="15" customHeight="1" x14ac:dyDescent="0.3">
      <c r="A37" s="11" t="s">
        <v>33</v>
      </c>
      <c r="B37" s="11">
        <f t="shared" si="1"/>
        <v>35</v>
      </c>
      <c r="C37" s="17">
        <v>0</v>
      </c>
      <c r="D37" s="17">
        <v>0</v>
      </c>
      <c r="E37" s="17">
        <v>0</v>
      </c>
      <c r="F37" s="17">
        <v>0</v>
      </c>
      <c r="G37" s="17">
        <v>0</v>
      </c>
      <c r="H37" s="17">
        <v>0</v>
      </c>
      <c r="I37" s="17">
        <v>0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J37" s="19">
        <v>0</v>
      </c>
      <c r="AK37" s="13">
        <v>0</v>
      </c>
      <c r="AL37" s="19">
        <v>0</v>
      </c>
      <c r="AM37" s="19">
        <v>0</v>
      </c>
      <c r="AN37" s="19">
        <v>1</v>
      </c>
      <c r="AO37" s="18">
        <v>0</v>
      </c>
      <c r="AP37" s="19">
        <v>0</v>
      </c>
      <c r="AQ37" s="19">
        <v>0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Z37" s="5"/>
    </row>
    <row r="38" spans="1:52" ht="15" customHeight="1" x14ac:dyDescent="0.3">
      <c r="A38" s="11" t="s">
        <v>34</v>
      </c>
      <c r="B38" s="11">
        <f t="shared" si="1"/>
        <v>36</v>
      </c>
      <c r="C38" s="17">
        <v>0</v>
      </c>
      <c r="D38" s="17">
        <v>0</v>
      </c>
      <c r="E38" s="17">
        <v>0</v>
      </c>
      <c r="F38" s="17">
        <v>0</v>
      </c>
      <c r="G38" s="17">
        <v>0</v>
      </c>
      <c r="H38" s="17">
        <v>0</v>
      </c>
      <c r="I38" s="17">
        <v>0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J38" s="19">
        <v>0</v>
      </c>
      <c r="AK38" s="19">
        <v>0</v>
      </c>
      <c r="AL38" s="13">
        <v>0</v>
      </c>
      <c r="AM38" s="19">
        <v>0</v>
      </c>
      <c r="AN38" s="19">
        <v>0</v>
      </c>
      <c r="AO38" s="18">
        <v>0</v>
      </c>
      <c r="AP38" s="19">
        <v>0</v>
      </c>
      <c r="AQ38" s="19">
        <v>1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Z38" s="5"/>
    </row>
    <row r="39" spans="1:52" ht="15" customHeight="1" x14ac:dyDescent="0.3">
      <c r="A39" s="11" t="s">
        <v>35</v>
      </c>
      <c r="B39" s="11">
        <f t="shared" si="1"/>
        <v>37</v>
      </c>
      <c r="C39" s="17">
        <v>0</v>
      </c>
      <c r="D39" s="17">
        <v>0</v>
      </c>
      <c r="E39" s="17">
        <v>0</v>
      </c>
      <c r="F39" s="17">
        <v>0</v>
      </c>
      <c r="G39" s="17">
        <v>0</v>
      </c>
      <c r="H39" s="17">
        <v>0</v>
      </c>
      <c r="I39" s="17">
        <v>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J39" s="19">
        <v>0</v>
      </c>
      <c r="AK39" s="19">
        <v>0</v>
      </c>
      <c r="AL39" s="19">
        <v>0</v>
      </c>
      <c r="AM39" s="13">
        <v>0</v>
      </c>
      <c r="AN39" s="19">
        <v>0</v>
      </c>
      <c r="AO39" s="18">
        <v>0</v>
      </c>
      <c r="AP39" s="19">
        <v>0</v>
      </c>
      <c r="AQ39" s="19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1</v>
      </c>
      <c r="AW39" s="14">
        <v>0</v>
      </c>
      <c r="AX39" s="14">
        <v>0</v>
      </c>
      <c r="AZ39" s="5"/>
    </row>
    <row r="40" spans="1:52" ht="15" customHeight="1" x14ac:dyDescent="0.3">
      <c r="A40" s="11" t="s">
        <v>36</v>
      </c>
      <c r="B40" s="11">
        <f t="shared" si="1"/>
        <v>38</v>
      </c>
      <c r="C40" s="17">
        <v>0</v>
      </c>
      <c r="D40" s="17">
        <v>0</v>
      </c>
      <c r="E40" s="17">
        <v>0</v>
      </c>
      <c r="F40" s="17">
        <v>0</v>
      </c>
      <c r="G40" s="17">
        <v>0</v>
      </c>
      <c r="H40" s="17">
        <v>0</v>
      </c>
      <c r="I40" s="17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J40" s="19">
        <v>0</v>
      </c>
      <c r="AK40" s="19">
        <v>0</v>
      </c>
      <c r="AL40" s="19">
        <v>1</v>
      </c>
      <c r="AM40" s="19">
        <v>0</v>
      </c>
      <c r="AN40" s="13">
        <v>0</v>
      </c>
      <c r="AO40" s="20">
        <v>0</v>
      </c>
      <c r="AP40" s="19">
        <v>0</v>
      </c>
      <c r="AQ40" s="19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Z40" s="5"/>
    </row>
    <row r="41" spans="1:52" ht="15" customHeight="1" x14ac:dyDescent="0.3">
      <c r="A41" s="11" t="s">
        <v>37</v>
      </c>
      <c r="B41" s="11">
        <f t="shared" si="1"/>
        <v>39</v>
      </c>
      <c r="C41" s="17">
        <v>0</v>
      </c>
      <c r="D41" s="17">
        <v>0</v>
      </c>
      <c r="E41" s="17">
        <v>0</v>
      </c>
      <c r="F41" s="17">
        <v>0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1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  <c r="AG41" s="17">
        <v>0</v>
      </c>
      <c r="AH41" s="17">
        <v>0</v>
      </c>
      <c r="AI41" s="17">
        <v>0</v>
      </c>
      <c r="AJ41" s="17">
        <v>0</v>
      </c>
      <c r="AK41" s="17">
        <v>0</v>
      </c>
      <c r="AL41" s="17">
        <v>0</v>
      </c>
      <c r="AM41" s="17">
        <v>0</v>
      </c>
      <c r="AN41" s="19">
        <v>0</v>
      </c>
      <c r="AO41" s="21">
        <v>0</v>
      </c>
      <c r="AP41" s="20">
        <v>0</v>
      </c>
      <c r="AQ41" s="20">
        <v>0</v>
      </c>
      <c r="AR41" s="22">
        <v>0</v>
      </c>
      <c r="AS41" s="22">
        <v>0</v>
      </c>
      <c r="AT41" s="22">
        <v>0</v>
      </c>
      <c r="AU41" s="22">
        <v>0</v>
      </c>
      <c r="AV41" s="22">
        <v>0</v>
      </c>
      <c r="AW41" s="22">
        <v>0</v>
      </c>
      <c r="AX41" s="23">
        <v>0</v>
      </c>
      <c r="AZ41" s="5"/>
    </row>
    <row r="42" spans="1:52" ht="15" customHeight="1" x14ac:dyDescent="0.3">
      <c r="A42" s="11" t="s">
        <v>38</v>
      </c>
      <c r="B42" s="11">
        <f t="shared" si="1"/>
        <v>40</v>
      </c>
      <c r="C42" s="14">
        <v>0</v>
      </c>
      <c r="D42" s="14">
        <v>0</v>
      </c>
      <c r="E42" s="17">
        <v>0</v>
      </c>
      <c r="F42" s="17">
        <v>0</v>
      </c>
      <c r="G42" s="17">
        <v>0</v>
      </c>
      <c r="H42" s="17">
        <v>0</v>
      </c>
      <c r="I42" s="17">
        <v>0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J42" s="19">
        <v>0</v>
      </c>
      <c r="AK42" s="19">
        <v>1</v>
      </c>
      <c r="AL42" s="19">
        <v>0</v>
      </c>
      <c r="AM42" s="19">
        <v>0</v>
      </c>
      <c r="AN42" s="19">
        <v>0</v>
      </c>
      <c r="AO42" s="20">
        <v>0</v>
      </c>
      <c r="AP42" s="21">
        <v>0</v>
      </c>
      <c r="AQ42" s="9">
        <v>0</v>
      </c>
      <c r="AR42" s="9">
        <v>0</v>
      </c>
      <c r="AS42" s="9">
        <v>0</v>
      </c>
      <c r="AT42" s="9">
        <v>0</v>
      </c>
      <c r="AU42" s="9">
        <v>0</v>
      </c>
      <c r="AV42" s="9">
        <v>0</v>
      </c>
      <c r="AW42" s="9">
        <v>0</v>
      </c>
      <c r="AX42" s="10">
        <v>0</v>
      </c>
      <c r="AZ42" s="5"/>
    </row>
    <row r="43" spans="1:52" ht="15" customHeight="1" x14ac:dyDescent="0.3">
      <c r="A43" s="11" t="s">
        <v>39</v>
      </c>
      <c r="B43" s="11">
        <f t="shared" si="1"/>
        <v>41</v>
      </c>
      <c r="C43" s="17">
        <v>0</v>
      </c>
      <c r="D43" s="17">
        <v>0</v>
      </c>
      <c r="E43" s="17">
        <v>0</v>
      </c>
      <c r="F43" s="17">
        <v>0</v>
      </c>
      <c r="G43" s="17">
        <v>0</v>
      </c>
      <c r="H43" s="17">
        <v>0</v>
      </c>
      <c r="I43" s="17">
        <v>0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J43" s="19">
        <v>0</v>
      </c>
      <c r="AK43" s="19">
        <v>0</v>
      </c>
      <c r="AL43" s="19">
        <v>0</v>
      </c>
      <c r="AM43" s="19">
        <v>0</v>
      </c>
      <c r="AN43" s="19">
        <v>0</v>
      </c>
      <c r="AO43" s="20">
        <v>0</v>
      </c>
      <c r="AP43" s="25">
        <v>0</v>
      </c>
      <c r="AQ43" s="21">
        <v>0</v>
      </c>
      <c r="AR43" s="9">
        <v>0</v>
      </c>
      <c r="AS43" s="9">
        <v>0</v>
      </c>
      <c r="AT43" s="9">
        <v>0</v>
      </c>
      <c r="AU43" s="9">
        <v>1</v>
      </c>
      <c r="AV43" s="9">
        <v>0</v>
      </c>
      <c r="AW43" s="9">
        <v>0</v>
      </c>
      <c r="AX43" s="10">
        <v>0</v>
      </c>
      <c r="AZ43" s="5"/>
    </row>
    <row r="44" spans="1:52" ht="15" customHeight="1" x14ac:dyDescent="0.3">
      <c r="A44" s="11" t="s">
        <v>40</v>
      </c>
      <c r="B44" s="11">
        <f t="shared" si="1"/>
        <v>42</v>
      </c>
      <c r="C44" s="14">
        <v>0</v>
      </c>
      <c r="D44" s="14">
        <v>0</v>
      </c>
      <c r="E44" s="14">
        <v>0</v>
      </c>
      <c r="F44" s="14">
        <v>0</v>
      </c>
      <c r="G44" s="14">
        <v>0</v>
      </c>
      <c r="H44" s="14">
        <v>0</v>
      </c>
      <c r="I44" s="14">
        <v>0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  <c r="AH44" s="14">
        <v>0</v>
      </c>
      <c r="AI44" s="14">
        <v>0</v>
      </c>
      <c r="AJ44" s="14">
        <v>0</v>
      </c>
      <c r="AK44" s="14">
        <v>0</v>
      </c>
      <c r="AL44" s="14">
        <v>0</v>
      </c>
      <c r="AM44" s="14">
        <v>0</v>
      </c>
      <c r="AN44" s="14">
        <v>0</v>
      </c>
      <c r="AO44" s="22">
        <v>0</v>
      </c>
      <c r="AP44" s="9">
        <v>0</v>
      </c>
      <c r="AQ44" s="9">
        <v>0</v>
      </c>
      <c r="AR44" s="21">
        <v>0</v>
      </c>
      <c r="AS44" s="9">
        <v>1</v>
      </c>
      <c r="AT44" s="9">
        <v>0</v>
      </c>
      <c r="AU44" s="9">
        <v>0</v>
      </c>
      <c r="AV44" s="9">
        <v>0</v>
      </c>
      <c r="AW44" s="9">
        <v>0</v>
      </c>
      <c r="AX44" s="10">
        <v>0</v>
      </c>
      <c r="AZ44" s="5"/>
    </row>
    <row r="45" spans="1:52" ht="15" customHeight="1" x14ac:dyDescent="0.3">
      <c r="A45" s="11" t="s">
        <v>41</v>
      </c>
      <c r="B45" s="11">
        <f t="shared" si="1"/>
        <v>43</v>
      </c>
      <c r="C45" s="14">
        <v>0</v>
      </c>
      <c r="D45" s="14">
        <v>0</v>
      </c>
      <c r="E45" s="14">
        <v>0</v>
      </c>
      <c r="F45" s="14">
        <v>0</v>
      </c>
      <c r="G45" s="14">
        <v>0</v>
      </c>
      <c r="H45" s="14">
        <v>0</v>
      </c>
      <c r="I45" s="14">
        <v>0</v>
      </c>
      <c r="J45" s="14">
        <v>0</v>
      </c>
      <c r="K45" s="14">
        <v>0</v>
      </c>
      <c r="L45" s="14">
        <v>0</v>
      </c>
      <c r="M45" s="14">
        <v>0</v>
      </c>
      <c r="N45" s="14">
        <v>0</v>
      </c>
      <c r="O45" s="14">
        <v>0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0</v>
      </c>
      <c r="AD45" s="14">
        <v>0</v>
      </c>
      <c r="AE45" s="14">
        <v>0</v>
      </c>
      <c r="AF45" s="14">
        <v>0</v>
      </c>
      <c r="AG45" s="14">
        <v>0</v>
      </c>
      <c r="AH45" s="14">
        <v>1</v>
      </c>
      <c r="AI45" s="14">
        <v>0</v>
      </c>
      <c r="AJ45" s="14">
        <v>0</v>
      </c>
      <c r="AK45" s="14">
        <v>0</v>
      </c>
      <c r="AL45" s="14">
        <v>0</v>
      </c>
      <c r="AM45" s="14">
        <v>0</v>
      </c>
      <c r="AN45" s="14">
        <v>0</v>
      </c>
      <c r="AO45" s="22">
        <v>0</v>
      </c>
      <c r="AP45" s="9">
        <v>0</v>
      </c>
      <c r="AQ45" s="9">
        <v>0</v>
      </c>
      <c r="AR45" s="9">
        <v>0</v>
      </c>
      <c r="AS45" s="21">
        <v>0</v>
      </c>
      <c r="AT45" s="9">
        <v>0</v>
      </c>
      <c r="AU45" s="9">
        <v>0</v>
      </c>
      <c r="AV45" s="9">
        <v>0</v>
      </c>
      <c r="AW45" s="9">
        <v>0</v>
      </c>
      <c r="AX45" s="10">
        <v>0</v>
      </c>
      <c r="AZ45" s="5"/>
    </row>
    <row r="46" spans="1:52" ht="15" customHeight="1" x14ac:dyDescent="0.3">
      <c r="A46" s="11" t="s">
        <v>42</v>
      </c>
      <c r="B46" s="11">
        <f t="shared" si="1"/>
        <v>44</v>
      </c>
      <c r="C46" s="14">
        <v>0</v>
      </c>
      <c r="D46" s="14">
        <v>0</v>
      </c>
      <c r="E46" s="14">
        <v>0</v>
      </c>
      <c r="F46" s="14">
        <v>0</v>
      </c>
      <c r="G46" s="14">
        <v>0</v>
      </c>
      <c r="H46" s="14">
        <v>0</v>
      </c>
      <c r="I46" s="14">
        <v>0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0</v>
      </c>
      <c r="Q46" s="14">
        <v>0</v>
      </c>
      <c r="R46" s="14">
        <v>0</v>
      </c>
      <c r="S46" s="14">
        <v>0</v>
      </c>
      <c r="T46" s="14">
        <v>0</v>
      </c>
      <c r="U46" s="14">
        <v>0</v>
      </c>
      <c r="V46" s="14">
        <v>0</v>
      </c>
      <c r="W46" s="14">
        <v>0</v>
      </c>
      <c r="X46" s="14">
        <v>0</v>
      </c>
      <c r="Y46" s="14">
        <v>0</v>
      </c>
      <c r="Z46" s="14">
        <v>0</v>
      </c>
      <c r="AA46" s="14">
        <v>0</v>
      </c>
      <c r="AB46" s="14">
        <v>0</v>
      </c>
      <c r="AC46" s="14">
        <v>0</v>
      </c>
      <c r="AD46" s="14">
        <v>0</v>
      </c>
      <c r="AE46" s="14">
        <v>0</v>
      </c>
      <c r="AF46" s="14">
        <v>0</v>
      </c>
      <c r="AG46" s="14">
        <v>0</v>
      </c>
      <c r="AH46" s="14">
        <v>0</v>
      </c>
      <c r="AI46" s="14">
        <v>0</v>
      </c>
      <c r="AJ46" s="14">
        <v>0</v>
      </c>
      <c r="AK46" s="14">
        <v>0</v>
      </c>
      <c r="AL46" s="14">
        <v>0</v>
      </c>
      <c r="AM46" s="14">
        <v>0</v>
      </c>
      <c r="AN46" s="14">
        <v>0</v>
      </c>
      <c r="AO46" s="22">
        <v>0</v>
      </c>
      <c r="AP46" s="9">
        <v>0</v>
      </c>
      <c r="AQ46" s="9">
        <v>0</v>
      </c>
      <c r="AR46" s="9">
        <v>0</v>
      </c>
      <c r="AS46" s="9">
        <v>0</v>
      </c>
      <c r="AT46" s="21">
        <v>0</v>
      </c>
      <c r="AU46" s="9">
        <v>0</v>
      </c>
      <c r="AV46" s="9">
        <v>0</v>
      </c>
      <c r="AW46" s="9">
        <v>1</v>
      </c>
      <c r="AX46" s="10">
        <v>0</v>
      </c>
      <c r="AZ46" s="5"/>
    </row>
    <row r="47" spans="1:52" ht="15" customHeight="1" x14ac:dyDescent="0.3">
      <c r="A47" s="11" t="s">
        <v>43</v>
      </c>
      <c r="B47" s="11">
        <f t="shared" si="1"/>
        <v>45</v>
      </c>
      <c r="C47" s="14">
        <v>0</v>
      </c>
      <c r="D47" s="14">
        <v>0</v>
      </c>
      <c r="E47" s="14">
        <v>0</v>
      </c>
      <c r="F47" s="14">
        <v>0</v>
      </c>
      <c r="G47" s="14">
        <v>0</v>
      </c>
      <c r="H47" s="14">
        <v>0</v>
      </c>
      <c r="I47" s="14">
        <v>0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0</v>
      </c>
      <c r="Q47" s="14">
        <v>0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  <c r="AH47" s="14">
        <v>0</v>
      </c>
      <c r="AI47" s="14">
        <v>0</v>
      </c>
      <c r="AJ47" s="14">
        <v>0</v>
      </c>
      <c r="AK47" s="14">
        <v>0</v>
      </c>
      <c r="AL47" s="14">
        <v>0</v>
      </c>
      <c r="AM47" s="14">
        <v>1</v>
      </c>
      <c r="AN47" s="14">
        <v>0</v>
      </c>
      <c r="AO47" s="22">
        <v>0</v>
      </c>
      <c r="AP47" s="9">
        <v>0</v>
      </c>
      <c r="AQ47" s="9">
        <v>0</v>
      </c>
      <c r="AR47" s="9">
        <v>0</v>
      </c>
      <c r="AS47" s="9">
        <v>0</v>
      </c>
      <c r="AT47" s="9">
        <v>0</v>
      </c>
      <c r="AU47" s="21">
        <v>0</v>
      </c>
      <c r="AV47" s="9">
        <v>0</v>
      </c>
      <c r="AW47" s="9">
        <v>0</v>
      </c>
      <c r="AX47" s="10">
        <v>0</v>
      </c>
      <c r="AZ47" s="5"/>
    </row>
    <row r="48" spans="1:52" ht="15" customHeight="1" x14ac:dyDescent="0.3">
      <c r="A48" s="11" t="s">
        <v>44</v>
      </c>
      <c r="B48" s="11">
        <f t="shared" si="1"/>
        <v>46</v>
      </c>
      <c r="C48" s="14">
        <v>0</v>
      </c>
      <c r="D48" s="14">
        <v>0</v>
      </c>
      <c r="E48" s="14">
        <v>0</v>
      </c>
      <c r="F48" s="14">
        <v>0</v>
      </c>
      <c r="G48" s="14">
        <v>0</v>
      </c>
      <c r="H48" s="14">
        <v>0</v>
      </c>
      <c r="I48" s="14">
        <v>0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22">
        <v>0</v>
      </c>
      <c r="AP48" s="9">
        <v>0</v>
      </c>
      <c r="AQ48" s="9">
        <v>0</v>
      </c>
      <c r="AR48" s="9">
        <v>0</v>
      </c>
      <c r="AS48" s="9">
        <v>0</v>
      </c>
      <c r="AT48" s="9">
        <v>1</v>
      </c>
      <c r="AU48" s="9">
        <v>0</v>
      </c>
      <c r="AV48" s="21">
        <v>0</v>
      </c>
      <c r="AW48" s="9">
        <v>0</v>
      </c>
      <c r="AX48" s="10">
        <v>0</v>
      </c>
      <c r="AZ48" s="5"/>
    </row>
    <row r="49" spans="1:52" ht="15" customHeight="1" x14ac:dyDescent="0.3">
      <c r="A49" s="11" t="s">
        <v>45</v>
      </c>
      <c r="B49" s="11">
        <f t="shared" si="1"/>
        <v>47</v>
      </c>
      <c r="C49" s="14">
        <v>0</v>
      </c>
      <c r="D49" s="14">
        <v>1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22">
        <v>0</v>
      </c>
      <c r="AP49" s="9">
        <v>0</v>
      </c>
      <c r="AQ49" s="9">
        <v>0</v>
      </c>
      <c r="AR49" s="9">
        <v>0</v>
      </c>
      <c r="AS49" s="9">
        <v>0</v>
      </c>
      <c r="AT49" s="9">
        <v>0</v>
      </c>
      <c r="AU49" s="9">
        <v>0</v>
      </c>
      <c r="AV49" s="9">
        <v>0</v>
      </c>
      <c r="AW49" s="21">
        <v>0</v>
      </c>
      <c r="AX49" s="10">
        <v>0</v>
      </c>
      <c r="AZ49" s="5"/>
    </row>
    <row r="50" spans="1:52" ht="15" customHeight="1" x14ac:dyDescent="0.3">
      <c r="A50" s="11" t="s">
        <v>46</v>
      </c>
      <c r="B50" s="11">
        <f t="shared" si="1"/>
        <v>48</v>
      </c>
      <c r="C50" s="14">
        <v>0</v>
      </c>
      <c r="D50" s="14">
        <v>0</v>
      </c>
      <c r="E50" s="14">
        <v>0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0</v>
      </c>
      <c r="Q50" s="14">
        <v>0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1</v>
      </c>
      <c r="AK50" s="14">
        <v>0</v>
      </c>
      <c r="AL50" s="14">
        <v>0</v>
      </c>
      <c r="AM50" s="14">
        <v>0</v>
      </c>
      <c r="AN50" s="14">
        <v>0</v>
      </c>
      <c r="AO50" s="22">
        <v>0</v>
      </c>
      <c r="AP50" s="9">
        <v>0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8">
        <v>0</v>
      </c>
      <c r="AZ50" s="5"/>
    </row>
    <row r="52" spans="1:52" ht="15" customHeight="1" x14ac:dyDescent="0.3">
      <c r="AZ52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distances</vt:lpstr>
      <vt:lpstr>tournée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Infotelec</dc:creator>
  <cp:lastModifiedBy>EL Moustapha Cheikh Jiddou</cp:lastModifiedBy>
  <dcterms:created xsi:type="dcterms:W3CDTF">2015-06-05T18:19:34Z</dcterms:created>
  <dcterms:modified xsi:type="dcterms:W3CDTF">2024-01-19T22:42:25Z</dcterms:modified>
</cp:coreProperties>
</file>